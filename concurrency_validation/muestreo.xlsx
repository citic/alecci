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odo" sheetId="1" state="visible" r:id="rId1"/>
    <sheet name="ClassExamples" sheetId="2" state="visible" r:id="rId2"/>
    <sheet name="DataRaceBench" sheetId="3" state="visible" r:id="rId3"/>
    <sheet name="DeepRace" sheetId="4" state="visible" r:id="rId4"/>
    <sheet name="SCTBe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9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Semilla (random.Random)</t>
        </is>
      </c>
      <c r="B1" t="n">
        <v>42</v>
      </c>
    </row>
    <row r="2">
      <c r="A2" s="1" t="inlineStr">
        <is>
          <t>Porcentaje a revisar</t>
        </is>
      </c>
      <c r="B2" s="2" t="n">
        <v>0.05</v>
      </c>
    </row>
    <row r="3">
      <c r="A3" t="inlineStr">
        <is>
          <t>Generador</t>
        </is>
      </c>
      <c r="B3" t="inlineStr">
        <is>
          <t>Python random.Random(seed) (Mersenne Twister), un generador por dataset: Random(f'{seed}-{dataset}')</t>
        </is>
      </c>
    </row>
    <row r="4">
      <c r="A4" t="inlineStr">
        <is>
          <t>Unidad</t>
        </is>
      </c>
      <c r="B4" t="inlineStr">
        <is>
          <t>Cada archivo .ale es un ejercicio</t>
        </is>
      </c>
    </row>
    <row r="5">
      <c r="A5" t="inlineStr">
        <is>
          <t>Procedimiento</t>
        </is>
      </c>
      <c r="B5" t="inlineStr">
        <is>
          <t>1) listar ejercicios en orden alfabético; 2) asignar random() a cada uno; 3) ordenar por ese número; 4) revisar los primeros ceil(N × porcentaje)</t>
        </is>
      </c>
    </row>
    <row r="6">
      <c r="A6" t="inlineStr">
        <is>
          <t>Reproducir</t>
        </is>
      </c>
      <c r="B6" t="inlineStr">
        <is>
          <t>python3 concurrency_validation/make_sampling_sheet.py --seed 42 --pct 5</t>
        </is>
      </c>
    </row>
    <row r="7">
      <c r="A7" t="inlineStr"/>
      <c r="B7" t="inlineStr"/>
    </row>
    <row r="8">
      <c r="A8" s="1" t="inlineStr">
        <is>
          <t>Dataset</t>
        </is>
      </c>
      <c r="B8" s="1" t="inlineStr">
        <is>
          <t>Total ejercicios / a revisar</t>
        </is>
      </c>
    </row>
    <row r="9">
      <c r="A9" t="inlineStr">
        <is>
          <t>ClassExamples</t>
        </is>
      </c>
      <c r="B9" t="inlineStr">
        <is>
          <t>56 / 3</t>
        </is>
      </c>
    </row>
    <row r="10">
      <c r="A10" t="inlineStr">
        <is>
          <t>DataRaceBench</t>
        </is>
      </c>
      <c r="B10" t="inlineStr">
        <is>
          <t>60 / 3</t>
        </is>
      </c>
    </row>
    <row r="11">
      <c r="A11" t="inlineStr">
        <is>
          <t>DeepRace</t>
        </is>
      </c>
      <c r="B11" t="inlineStr">
        <is>
          <t>96 / 5</t>
        </is>
      </c>
    </row>
    <row r="12">
      <c r="A12" t="inlineStr">
        <is>
          <t>SCTBench</t>
        </is>
      </c>
      <c r="B12" t="inlineStr">
        <is>
          <t>48 /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8" customWidth="1" min="3" max="3"/>
    <col width="10" customWidth="1" min="4" max="4"/>
    <col width="10" customWidth="1" min="5" max="5"/>
    <col width="40" customWidth="1" min="6" max="6"/>
  </cols>
  <sheetData>
    <row r="1">
      <c r="A1" s="1" t="inlineStr">
        <is>
          <t>Posición</t>
        </is>
      </c>
      <c r="B1" s="1" t="inlineStr">
        <is>
          <t>Ejercicio</t>
        </is>
      </c>
      <c r="C1" s="1" t="inlineStr">
        <is>
          <t>Aleatorio [0,1)</t>
        </is>
      </c>
      <c r="D1" s="1" t="inlineStr">
        <is>
          <t>Revisar</t>
        </is>
      </c>
      <c r="E1" s="1" t="inlineStr">
        <is>
          <t>Revisado</t>
        </is>
      </c>
      <c r="F1" s="1" t="inlineStr">
        <is>
          <t>Notas</t>
        </is>
      </c>
    </row>
    <row r="2">
      <c r="A2" s="3" t="n">
        <v>1</v>
      </c>
      <c r="B2" s="3" t="inlineStr">
        <is>
          <t>dancing_pairs/0008.ale</t>
        </is>
      </c>
      <c r="C2" s="3" t="n">
        <v>0.0331185291248135</v>
      </c>
      <c r="D2" s="3">
        <f>IF(A2&lt;=ROUNDUP(COUNTA($B$2:$B$57)*Método!$B$2,0),"SÍ","")</f>
        <v/>
      </c>
      <c r="E2" s="3" t="inlineStr"/>
      <c r="F2" s="3" t="inlineStr"/>
    </row>
    <row r="3">
      <c r="A3" s="3" t="n">
        <v>2</v>
      </c>
      <c r="B3" s="3" t="inlineStr">
        <is>
          <t>prod_cons_bound/0002.ale</t>
        </is>
      </c>
      <c r="C3" s="3" t="n">
        <v>0.03433930822770659</v>
      </c>
      <c r="D3" s="3">
        <f>IF(A3&lt;=ROUNDUP(COUNTA($B$2:$B$57)*Método!$B$2,0),"SÍ","")</f>
        <v/>
      </c>
      <c r="E3" s="3" t="inlineStr"/>
      <c r="F3" s="3" t="inlineStr"/>
    </row>
    <row r="4">
      <c r="A4" s="3" t="n">
        <v>3</v>
      </c>
      <c r="B4" s="3" t="inlineStr">
        <is>
          <t>taskc_patterns/0004.ale</t>
        </is>
      </c>
      <c r="C4" s="3" t="n">
        <v>0.04006935785845911</v>
      </c>
      <c r="D4" s="3">
        <f>IF(A4&lt;=ROUNDUP(COUNTA($B$2:$B$57)*Método!$B$2,0),"SÍ","")</f>
        <v/>
      </c>
      <c r="E4" s="3" t="inlineStr"/>
      <c r="F4" s="3" t="inlineStr"/>
    </row>
    <row r="5">
      <c r="A5" t="n">
        <v>4</v>
      </c>
      <c r="B5" t="inlineStr">
        <is>
          <t>build_h2o/0003.ale</t>
        </is>
      </c>
      <c r="C5" t="n">
        <v>0.04250497190822278</v>
      </c>
      <c r="D5">
        <f>IF(A5&lt;=ROUNDUP(COUNTA($B$2:$B$57)*Método!$B$2,0),"SÍ","")</f>
        <v/>
      </c>
      <c r="E5" t="inlineStr"/>
      <c r="F5" t="inlineStr"/>
    </row>
    <row r="6">
      <c r="A6" t="n">
        <v>5</v>
      </c>
      <c r="B6" t="inlineStr">
        <is>
          <t>dancing_pairs/0001.ale</t>
        </is>
      </c>
      <c r="C6" t="n">
        <v>0.1326718905986607</v>
      </c>
      <c r="D6">
        <f>IF(A6&lt;=ROUNDUP(COUNTA($B$2:$B$57)*Método!$B$2,0),"SÍ","")</f>
        <v/>
      </c>
      <c r="E6" t="inlineStr"/>
      <c r="F6" t="inlineStr"/>
    </row>
    <row r="7">
      <c r="A7" t="n">
        <v>6</v>
      </c>
      <c r="B7" t="inlineStr">
        <is>
          <t>prod_cons_unbound/0002.ale</t>
        </is>
      </c>
      <c r="C7" t="n">
        <v>0.1335240358913448</v>
      </c>
      <c r="D7">
        <f>IF(A7&lt;=ROUNDUP(COUNTA($B$2:$B$57)*Método!$B$2,0),"SÍ","")</f>
        <v/>
      </c>
      <c r="E7" t="inlineStr"/>
      <c r="F7" t="inlineStr"/>
    </row>
    <row r="8">
      <c r="A8" t="n">
        <v>7</v>
      </c>
      <c r="B8" t="inlineStr">
        <is>
          <t>dancing_pairs/0007.ale</t>
        </is>
      </c>
      <c r="C8" t="n">
        <v>0.175828303441373</v>
      </c>
      <c r="D8">
        <f>IF(A8&lt;=ROUNDUP(COUNTA($B$2:$B$57)*Método!$B$2,0),"SÍ","")</f>
        <v/>
      </c>
      <c r="E8" t="inlineStr"/>
      <c r="F8" t="inlineStr"/>
    </row>
    <row r="9">
      <c r="A9" t="n">
        <v>8</v>
      </c>
      <c r="B9" t="inlineStr">
        <is>
          <t>dancing_pairs/0005.ale</t>
        </is>
      </c>
      <c r="C9" t="n">
        <v>0.178025111975323</v>
      </c>
      <c r="D9">
        <f>IF(A9&lt;=ROUNDUP(COUNTA($B$2:$B$57)*Método!$B$2,0),"SÍ","")</f>
        <v/>
      </c>
      <c r="E9" t="inlineStr"/>
      <c r="F9" t="inlineStr"/>
    </row>
    <row r="10">
      <c r="A10" t="n">
        <v>9</v>
      </c>
      <c r="B10" t="inlineStr">
        <is>
          <t>dining_philosophers/0003.ale</t>
        </is>
      </c>
      <c r="C10" t="n">
        <v>0.1853285822513395</v>
      </c>
      <c r="D10">
        <f>IF(A10&lt;=ROUNDUP(COUNTA($B$2:$B$57)*Método!$B$2,0),"SÍ","")</f>
        <v/>
      </c>
      <c r="E10" t="inlineStr"/>
      <c r="F10" t="inlineStr"/>
    </row>
    <row r="11">
      <c r="A11" t="n">
        <v>10</v>
      </c>
      <c r="B11" t="inlineStr">
        <is>
          <t>prod_cons_unbound/0004.ale</t>
        </is>
      </c>
      <c r="C11" t="n">
        <v>0.201631068412583</v>
      </c>
      <c r="D11">
        <f>IF(A11&lt;=ROUNDUP(COUNTA($B$2:$B$57)*Método!$B$2,0),"SÍ","")</f>
        <v/>
      </c>
      <c r="E11" t="inlineStr"/>
      <c r="F11" t="inlineStr"/>
    </row>
    <row r="12">
      <c r="A12" t="n">
        <v>11</v>
      </c>
      <c r="B12" t="inlineStr">
        <is>
          <t>build_h2o/0006.ale</t>
        </is>
      </c>
      <c r="C12" t="n">
        <v>0.2393427734822255</v>
      </c>
      <c r="D12">
        <f>IF(A12&lt;=ROUNDUP(COUNTA($B$2:$B$57)*Método!$B$2,0),"SÍ","")</f>
        <v/>
      </c>
      <c r="E12" t="inlineStr"/>
      <c r="F12" t="inlineStr"/>
    </row>
    <row r="13">
      <c r="A13" t="n">
        <v>12</v>
      </c>
      <c r="B13" t="inlineStr">
        <is>
          <t>network_simul_packet_loss_fix/0004.ale</t>
        </is>
      </c>
      <c r="C13" t="n">
        <v>0.2615874627812546</v>
      </c>
      <c r="D13">
        <f>IF(A13&lt;=ROUNDUP(COUNTA($B$2:$B$57)*Método!$B$2,0),"SÍ","")</f>
        <v/>
      </c>
      <c r="E13" t="inlineStr"/>
      <c r="F13" t="inlineStr"/>
    </row>
    <row r="14">
      <c r="A14" t="n">
        <v>13</v>
      </c>
      <c r="B14" t="inlineStr">
        <is>
          <t>build_h2o/0007.ale</t>
        </is>
      </c>
      <c r="C14" t="n">
        <v>0.2698437704464925</v>
      </c>
      <c r="D14">
        <f>IF(A14&lt;=ROUNDUP(COUNTA($B$2:$B$57)*Método!$B$2,0),"SÍ","")</f>
        <v/>
      </c>
      <c r="E14" t="inlineStr"/>
      <c r="F14" t="inlineStr"/>
    </row>
    <row r="15">
      <c r="A15" t="n">
        <v>14</v>
      </c>
      <c r="B15" t="inlineStr">
        <is>
          <t>build_h2o/0002.ale</t>
        </is>
      </c>
      <c r="C15" t="n">
        <v>0.2762554547256325</v>
      </c>
      <c r="D15">
        <f>IF(A15&lt;=ROUNDUP(COUNTA($B$2:$B$57)*Método!$B$2,0),"SÍ","")</f>
        <v/>
      </c>
      <c r="E15" t="inlineStr"/>
      <c r="F15" t="inlineStr"/>
    </row>
    <row r="16">
      <c r="A16" t="n">
        <v>15</v>
      </c>
      <c r="B16" t="inlineStr">
        <is>
          <t>taskc_patterns/0009.ale</t>
        </is>
      </c>
      <c r="C16" t="n">
        <v>0.3035129301610781</v>
      </c>
      <c r="D16">
        <f>IF(A16&lt;=ROUNDUP(COUNTA($B$2:$B$57)*Método!$B$2,0),"SÍ","")</f>
        <v/>
      </c>
      <c r="E16" t="inlineStr"/>
      <c r="F16" t="inlineStr"/>
    </row>
    <row r="17">
      <c r="A17" t="n">
        <v>16</v>
      </c>
      <c r="B17" t="inlineStr">
        <is>
          <t>dining_philosophers/0002.ale</t>
        </is>
      </c>
      <c r="C17" t="n">
        <v>0.3307654218865453</v>
      </c>
      <c r="D17">
        <f>IF(A17&lt;=ROUNDUP(COUNTA($B$2:$B$57)*Método!$B$2,0),"SÍ","")</f>
        <v/>
      </c>
      <c r="E17" t="inlineStr"/>
      <c r="F17" t="inlineStr"/>
    </row>
    <row r="18">
      <c r="A18" t="n">
        <v>17</v>
      </c>
      <c r="B18" t="inlineStr">
        <is>
          <t>relay_race/0003.ale</t>
        </is>
      </c>
      <c r="C18" t="n">
        <v>0.3423551095702857</v>
      </c>
      <c r="D18">
        <f>IF(A18&lt;=ROUNDUP(COUNTA($B$2:$B$57)*Método!$B$2,0),"SÍ","")</f>
        <v/>
      </c>
      <c r="E18" t="inlineStr"/>
      <c r="F18" t="inlineStr"/>
    </row>
    <row r="19">
      <c r="A19" t="n">
        <v>18</v>
      </c>
      <c r="B19" t="inlineStr">
        <is>
          <t>prod_cons_unbound/0001.ale</t>
        </is>
      </c>
      <c r="C19" t="n">
        <v>0.3569376619309464</v>
      </c>
      <c r="D19">
        <f>IF(A19&lt;=ROUNDUP(COUNTA($B$2:$B$57)*Método!$B$2,0),"SÍ","")</f>
        <v/>
      </c>
      <c r="E19" t="inlineStr"/>
      <c r="F19" t="inlineStr"/>
    </row>
    <row r="20">
      <c r="A20" t="n">
        <v>19</v>
      </c>
      <c r="B20" t="inlineStr">
        <is>
          <t>network_simul_packet_loss_fix/0003.ale</t>
        </is>
      </c>
      <c r="C20" t="n">
        <v>0.3607919071284865</v>
      </c>
      <c r="D20">
        <f>IF(A20&lt;=ROUNDUP(COUNTA($B$2:$B$57)*Método!$B$2,0),"SÍ","")</f>
        <v/>
      </c>
      <c r="E20" t="inlineStr"/>
      <c r="F20" t="inlineStr"/>
    </row>
    <row r="21">
      <c r="A21" t="n">
        <v>20</v>
      </c>
      <c r="B21" t="inlineStr">
        <is>
          <t>relay_race/0001.ale</t>
        </is>
      </c>
      <c r="C21" t="n">
        <v>0.383666655677652</v>
      </c>
      <c r="D21">
        <f>IF(A21&lt;=ROUNDUP(COUNTA($B$2:$B$57)*Método!$B$2,0),"SÍ","")</f>
        <v/>
      </c>
      <c r="E21" t="inlineStr"/>
      <c r="F21" t="inlineStr"/>
    </row>
    <row r="22">
      <c r="A22" t="n">
        <v>21</v>
      </c>
      <c r="B22" t="inlineStr">
        <is>
          <t>dancing_pairs/0003.ale</t>
        </is>
      </c>
      <c r="C22" t="n">
        <v>0.385106313711442</v>
      </c>
      <c r="D22">
        <f>IF(A22&lt;=ROUNDUP(COUNTA($B$2:$B$57)*Método!$B$2,0),"SÍ","")</f>
        <v/>
      </c>
      <c r="E22" t="inlineStr"/>
      <c r="F22" t="inlineStr"/>
    </row>
    <row r="23">
      <c r="A23" t="n">
        <v>22</v>
      </c>
      <c r="B23" t="inlineStr">
        <is>
          <t>prod_cons_bound/0005.ale</t>
        </is>
      </c>
      <c r="C23" t="n">
        <v>0.4056968473624496</v>
      </c>
      <c r="D23">
        <f>IF(A23&lt;=ROUNDUP(COUNTA($B$2:$B$57)*Método!$B$2,0),"SÍ","")</f>
        <v/>
      </c>
      <c r="E23" t="inlineStr"/>
      <c r="F23" t="inlineStr"/>
    </row>
    <row r="24">
      <c r="A24" t="n">
        <v>23</v>
      </c>
      <c r="B24" t="inlineStr">
        <is>
          <t>build_h2o/0001.ale</t>
        </is>
      </c>
      <c r="C24" t="n">
        <v>0.4135681343814525</v>
      </c>
      <c r="D24">
        <f>IF(A24&lt;=ROUNDUP(COUNTA($B$2:$B$57)*Método!$B$2,0),"SÍ","")</f>
        <v/>
      </c>
      <c r="E24" t="inlineStr"/>
      <c r="F24" t="inlineStr"/>
    </row>
    <row r="25">
      <c r="A25" t="n">
        <v>24</v>
      </c>
      <c r="B25" t="inlineStr">
        <is>
          <t>taskc_patterns/0002.ale</t>
        </is>
      </c>
      <c r="C25" t="n">
        <v>0.4587563467222816</v>
      </c>
      <c r="D25">
        <f>IF(A25&lt;=ROUNDUP(COUNTA($B$2:$B$57)*Método!$B$2,0),"SÍ","")</f>
        <v/>
      </c>
      <c r="E25" t="inlineStr"/>
      <c r="F25" t="inlineStr"/>
    </row>
    <row r="26">
      <c r="A26" t="n">
        <v>25</v>
      </c>
      <c r="B26" t="inlineStr">
        <is>
          <t>relay_race/0005.ale</t>
        </is>
      </c>
      <c r="C26" t="n">
        <v>0.4835591483416816</v>
      </c>
      <c r="D26">
        <f>IF(A26&lt;=ROUNDUP(COUNTA($B$2:$B$57)*Método!$B$2,0),"SÍ","")</f>
        <v/>
      </c>
      <c r="E26" t="inlineStr"/>
      <c r="F26" t="inlineStr"/>
    </row>
    <row r="27">
      <c r="A27" t="n">
        <v>26</v>
      </c>
      <c r="B27" t="inlineStr">
        <is>
          <t>prod_cons_queue/0004.ale</t>
        </is>
      </c>
      <c r="C27" t="n">
        <v>0.4928264806313462</v>
      </c>
      <c r="D27">
        <f>IF(A27&lt;=ROUNDUP(COUNTA($B$2:$B$57)*Método!$B$2,0),"SÍ","")</f>
        <v/>
      </c>
      <c r="E27" t="inlineStr"/>
      <c r="F27" t="inlineStr"/>
    </row>
    <row r="28">
      <c r="A28" t="n">
        <v>27</v>
      </c>
      <c r="B28" t="inlineStr">
        <is>
          <t>network_simul_packet_loss_fix/0005.ale</t>
        </is>
      </c>
      <c r="C28" t="n">
        <v>0.5088121736453872</v>
      </c>
      <c r="D28">
        <f>IF(A28&lt;=ROUNDUP(COUNTA($B$2:$B$57)*Método!$B$2,0),"SÍ","")</f>
        <v/>
      </c>
      <c r="E28" t="inlineStr"/>
      <c r="F28" t="inlineStr"/>
    </row>
    <row r="29">
      <c r="A29" t="n">
        <v>28</v>
      </c>
      <c r="B29" t="inlineStr">
        <is>
          <t>prod_cons_unbound/0005.ale</t>
        </is>
      </c>
      <c r="C29" t="n">
        <v>0.5098667382072414</v>
      </c>
      <c r="D29">
        <f>IF(A29&lt;=ROUNDUP(COUNTA($B$2:$B$57)*Método!$B$2,0),"SÍ","")</f>
        <v/>
      </c>
      <c r="E29" t="inlineStr"/>
      <c r="F29" t="inlineStr"/>
    </row>
    <row r="30">
      <c r="A30" t="n">
        <v>29</v>
      </c>
      <c r="B30" t="inlineStr">
        <is>
          <t>dancing_pairs/0006.ale</t>
        </is>
      </c>
      <c r="C30" t="n">
        <v>0.512978641375255</v>
      </c>
      <c r="D30">
        <f>IF(A30&lt;=ROUNDUP(COUNTA($B$2:$B$57)*Método!$B$2,0),"SÍ","")</f>
        <v/>
      </c>
      <c r="E30" t="inlineStr"/>
      <c r="F30" t="inlineStr"/>
    </row>
    <row r="31">
      <c r="A31" t="n">
        <v>30</v>
      </c>
      <c r="B31" t="inlineStr">
        <is>
          <t>build_h2o/0005.ale</t>
        </is>
      </c>
      <c r="C31" t="n">
        <v>0.5248966124849592</v>
      </c>
      <c r="D31">
        <f>IF(A31&lt;=ROUNDUP(COUNTA($B$2:$B$57)*Método!$B$2,0),"SÍ","")</f>
        <v/>
      </c>
      <c r="E31" t="inlineStr"/>
      <c r="F31" t="inlineStr"/>
    </row>
    <row r="32">
      <c r="A32" t="n">
        <v>31</v>
      </c>
      <c r="B32" t="inlineStr">
        <is>
          <t>taskc_patterns/0006.ale</t>
        </is>
      </c>
      <c r="C32" t="n">
        <v>0.5400404709513213</v>
      </c>
      <c r="D32">
        <f>IF(A32&lt;=ROUNDUP(COUNTA($B$2:$B$57)*Método!$B$2,0),"SÍ","")</f>
        <v/>
      </c>
      <c r="E32" t="inlineStr"/>
      <c r="F32" t="inlineStr"/>
    </row>
    <row r="33">
      <c r="A33" t="n">
        <v>32</v>
      </c>
      <c r="B33" t="inlineStr">
        <is>
          <t>prod_cons_queue/0003.ale</t>
        </is>
      </c>
      <c r="C33" t="n">
        <v>0.582315520184983</v>
      </c>
      <c r="D33">
        <f>IF(A33&lt;=ROUNDUP(COUNTA($B$2:$B$57)*Método!$B$2,0),"SÍ","")</f>
        <v/>
      </c>
      <c r="E33" t="inlineStr"/>
      <c r="F33" t="inlineStr"/>
    </row>
    <row r="34">
      <c r="A34" t="n">
        <v>33</v>
      </c>
      <c r="B34" t="inlineStr">
        <is>
          <t>network_simul_packet_loss_fix/0001.ale</t>
        </is>
      </c>
      <c r="C34" t="n">
        <v>0.5994270780664294</v>
      </c>
      <c r="D34">
        <f>IF(A34&lt;=ROUNDUP(COUNTA($B$2:$B$57)*Método!$B$2,0),"SÍ","")</f>
        <v/>
      </c>
      <c r="E34" t="inlineStr"/>
      <c r="F34" t="inlineStr"/>
    </row>
    <row r="35">
      <c r="A35" t="n">
        <v>34</v>
      </c>
      <c r="B35" t="inlineStr">
        <is>
          <t>dining_philosophers/0005.ale</t>
        </is>
      </c>
      <c r="C35" t="n">
        <v>0.6231518564539038</v>
      </c>
      <c r="D35">
        <f>IF(A35&lt;=ROUNDUP(COUNTA($B$2:$B$57)*Método!$B$2,0),"SÍ","")</f>
        <v/>
      </c>
      <c r="E35" t="inlineStr"/>
      <c r="F35" t="inlineStr"/>
    </row>
    <row r="36">
      <c r="A36" t="n">
        <v>35</v>
      </c>
      <c r="B36" t="inlineStr">
        <is>
          <t>dining_philosophers/0004.ale</t>
        </is>
      </c>
      <c r="C36" t="n">
        <v>0.6341717647343148</v>
      </c>
      <c r="D36">
        <f>IF(A36&lt;=ROUNDUP(COUNTA($B$2:$B$57)*Método!$B$2,0),"SÍ","")</f>
        <v/>
      </c>
      <c r="E36" t="inlineStr"/>
      <c r="F36" t="inlineStr"/>
    </row>
    <row r="37">
      <c r="A37" t="n">
        <v>36</v>
      </c>
      <c r="B37" t="inlineStr">
        <is>
          <t>prod_cons_queue/0001.ale</t>
        </is>
      </c>
      <c r="C37" t="n">
        <v>0.6512663697365706</v>
      </c>
      <c r="D37">
        <f>IF(A37&lt;=ROUNDUP(COUNTA($B$2:$B$57)*Método!$B$2,0),"SÍ","")</f>
        <v/>
      </c>
      <c r="E37" t="inlineStr"/>
      <c r="F37" t="inlineStr"/>
    </row>
    <row r="38">
      <c r="A38" t="n">
        <v>37</v>
      </c>
      <c r="B38" t="inlineStr">
        <is>
          <t>dining_philosophers/0001.ale</t>
        </is>
      </c>
      <c r="C38" t="n">
        <v>0.6702518837789992</v>
      </c>
      <c r="D38">
        <f>IF(A38&lt;=ROUNDUP(COUNTA($B$2:$B$57)*Método!$B$2,0),"SÍ","")</f>
        <v/>
      </c>
      <c r="E38" t="inlineStr"/>
      <c r="F38" t="inlineStr"/>
    </row>
    <row r="39">
      <c r="A39" t="n">
        <v>38</v>
      </c>
      <c r="B39" t="inlineStr">
        <is>
          <t>prod_cons_unbound/0003.ale</t>
        </is>
      </c>
      <c r="C39" t="n">
        <v>0.6923766311615323</v>
      </c>
      <c r="D39">
        <f>IF(A39&lt;=ROUNDUP(COUNTA($B$2:$B$57)*Método!$B$2,0),"SÍ","")</f>
        <v/>
      </c>
      <c r="E39" t="inlineStr"/>
      <c r="F39" t="inlineStr"/>
    </row>
    <row r="40">
      <c r="A40" t="n">
        <v>39</v>
      </c>
      <c r="B40" t="inlineStr">
        <is>
          <t>taskc_patterns/0008.ale</t>
        </is>
      </c>
      <c r="C40" t="n">
        <v>0.7070691237269915</v>
      </c>
      <c r="D40">
        <f>IF(A40&lt;=ROUNDUP(COUNTA($B$2:$B$57)*Método!$B$2,0),"SÍ","")</f>
        <v/>
      </c>
      <c r="E40" t="inlineStr"/>
      <c r="F40" t="inlineStr"/>
    </row>
    <row r="41">
      <c r="A41" t="n">
        <v>40</v>
      </c>
      <c r="B41" t="inlineStr">
        <is>
          <t>taskc_patterns/0005.ale</t>
        </is>
      </c>
      <c r="C41" t="n">
        <v>0.71668349527653</v>
      </c>
      <c r="D41">
        <f>IF(A41&lt;=ROUNDUP(COUNTA($B$2:$B$57)*Método!$B$2,0),"SÍ","")</f>
        <v/>
      </c>
      <c r="E41" t="inlineStr"/>
      <c r="F41" t="inlineStr"/>
    </row>
    <row r="42">
      <c r="A42" t="n">
        <v>41</v>
      </c>
      <c r="B42" t="inlineStr">
        <is>
          <t>relay_race/0004.ale</t>
        </is>
      </c>
      <c r="C42" t="n">
        <v>0.7280051037464559</v>
      </c>
      <c r="D42">
        <f>IF(A42&lt;=ROUNDUP(COUNTA($B$2:$B$57)*Método!$B$2,0),"SÍ","")</f>
        <v/>
      </c>
      <c r="E42" t="inlineStr"/>
      <c r="F42" t="inlineStr"/>
    </row>
    <row r="43">
      <c r="A43" t="n">
        <v>42</v>
      </c>
      <c r="B43" t="inlineStr">
        <is>
          <t>build_h2o/0009.ale</t>
        </is>
      </c>
      <c r="C43" t="n">
        <v>0.7486477176674202</v>
      </c>
      <c r="D43">
        <f>IF(A43&lt;=ROUNDUP(COUNTA($B$2:$B$57)*Método!$B$2,0),"SÍ","")</f>
        <v/>
      </c>
      <c r="E43" t="inlineStr"/>
      <c r="F43" t="inlineStr"/>
    </row>
    <row r="44">
      <c r="A44" t="n">
        <v>43</v>
      </c>
      <c r="B44" t="inlineStr">
        <is>
          <t>taskc_patterns/0007.ale</t>
        </is>
      </c>
      <c r="C44" t="n">
        <v>0.7638029283680103</v>
      </c>
      <c r="D44">
        <f>IF(A44&lt;=ROUNDUP(COUNTA($B$2:$B$57)*Método!$B$2,0),"SÍ","")</f>
        <v/>
      </c>
      <c r="E44" t="inlineStr"/>
      <c r="F44" t="inlineStr"/>
    </row>
    <row r="45">
      <c r="A45" t="n">
        <v>44</v>
      </c>
      <c r="B45" t="inlineStr">
        <is>
          <t>relay_race/0002.ale</t>
        </is>
      </c>
      <c r="C45" t="n">
        <v>0.7754384030891855</v>
      </c>
      <c r="D45">
        <f>IF(A45&lt;=ROUNDUP(COUNTA($B$2:$B$57)*Método!$B$2,0),"SÍ","")</f>
        <v/>
      </c>
      <c r="E45" t="inlineStr"/>
      <c r="F45" t="inlineStr"/>
    </row>
    <row r="46">
      <c r="A46" t="n">
        <v>45</v>
      </c>
      <c r="B46" t="inlineStr">
        <is>
          <t>dancing_pairs/0004.ale</t>
        </is>
      </c>
      <c r="C46" t="n">
        <v>0.7834271931048122</v>
      </c>
      <c r="D46">
        <f>IF(A46&lt;=ROUNDUP(COUNTA($B$2:$B$57)*Método!$B$2,0),"SÍ","")</f>
        <v/>
      </c>
      <c r="E46" t="inlineStr"/>
      <c r="F46" t="inlineStr"/>
    </row>
    <row r="47">
      <c r="A47" t="n">
        <v>46</v>
      </c>
      <c r="B47" t="inlineStr">
        <is>
          <t>build_h2o/0008.ale</t>
        </is>
      </c>
      <c r="C47" t="n">
        <v>0.7905692683491287</v>
      </c>
      <c r="D47">
        <f>IF(A47&lt;=ROUNDUP(COUNTA($B$2:$B$57)*Método!$B$2,0),"SÍ","")</f>
        <v/>
      </c>
      <c r="E47" t="inlineStr"/>
      <c r="F47" t="inlineStr"/>
    </row>
    <row r="48">
      <c r="A48" t="n">
        <v>47</v>
      </c>
      <c r="B48" t="inlineStr">
        <is>
          <t>prod_cons_bound/0001.ale</t>
        </is>
      </c>
      <c r="C48" t="n">
        <v>0.8211762427475829</v>
      </c>
      <c r="D48">
        <f>IF(A48&lt;=ROUNDUP(COUNTA($B$2:$B$57)*Método!$B$2,0),"SÍ","")</f>
        <v/>
      </c>
      <c r="E48" t="inlineStr"/>
      <c r="F48" t="inlineStr"/>
    </row>
    <row r="49">
      <c r="A49" t="n">
        <v>48</v>
      </c>
      <c r="B49" t="inlineStr">
        <is>
          <t>prod_cons_queue/0005.ale</t>
        </is>
      </c>
      <c r="C49" t="n">
        <v>0.8212569997587725</v>
      </c>
      <c r="D49">
        <f>IF(A49&lt;=ROUNDUP(COUNTA($B$2:$B$57)*Método!$B$2,0),"SÍ","")</f>
        <v/>
      </c>
      <c r="E49" t="inlineStr"/>
      <c r="F49" t="inlineStr"/>
    </row>
    <row r="50">
      <c r="A50" t="n">
        <v>49</v>
      </c>
      <c r="B50" t="inlineStr">
        <is>
          <t>prod_cons_bound/0003.ale</t>
        </is>
      </c>
      <c r="C50" t="n">
        <v>0.8490416759660188</v>
      </c>
      <c r="D50">
        <f>IF(A50&lt;=ROUNDUP(COUNTA($B$2:$B$57)*Método!$B$2,0),"SÍ","")</f>
        <v/>
      </c>
      <c r="E50" t="inlineStr"/>
      <c r="F50" t="inlineStr"/>
    </row>
    <row r="51">
      <c r="A51" t="n">
        <v>50</v>
      </c>
      <c r="B51" t="inlineStr">
        <is>
          <t>dancing_pairs/0002.ale</t>
        </is>
      </c>
      <c r="C51" t="n">
        <v>0.8698541849724238</v>
      </c>
      <c r="D51">
        <f>IF(A51&lt;=ROUNDUP(COUNTA($B$2:$B$57)*Método!$B$2,0),"SÍ","")</f>
        <v/>
      </c>
      <c r="E51" t="inlineStr"/>
      <c r="F51" t="inlineStr"/>
    </row>
    <row r="52">
      <c r="A52" t="n">
        <v>51</v>
      </c>
      <c r="B52" t="inlineStr">
        <is>
          <t>prod_cons_queue/0002.ale</t>
        </is>
      </c>
      <c r="C52" t="n">
        <v>0.8970180776411762</v>
      </c>
      <c r="D52">
        <f>IF(A52&lt;=ROUNDUP(COUNTA($B$2:$B$57)*Método!$B$2,0),"SÍ","")</f>
        <v/>
      </c>
      <c r="E52" t="inlineStr"/>
      <c r="F52" t="inlineStr"/>
    </row>
    <row r="53">
      <c r="A53" t="n">
        <v>52</v>
      </c>
      <c r="B53" t="inlineStr">
        <is>
          <t>taskc_patterns/0001.ale</t>
        </is>
      </c>
      <c r="C53" t="n">
        <v>0.9427044874520398</v>
      </c>
      <c r="D53">
        <f>IF(A53&lt;=ROUNDUP(COUNTA($B$2:$B$57)*Método!$B$2,0),"SÍ","")</f>
        <v/>
      </c>
      <c r="E53" t="inlineStr"/>
      <c r="F53" t="inlineStr"/>
    </row>
    <row r="54">
      <c r="A54" t="n">
        <v>53</v>
      </c>
      <c r="B54" t="inlineStr">
        <is>
          <t>build_h2o/0035.ale</t>
        </is>
      </c>
      <c r="C54" t="n">
        <v>0.9530151089956482</v>
      </c>
      <c r="D54">
        <f>IF(A54&lt;=ROUNDUP(COUNTA($B$2:$B$57)*Método!$B$2,0),"SÍ","")</f>
        <v/>
      </c>
      <c r="E54" t="inlineStr"/>
      <c r="F54" t="inlineStr"/>
    </row>
    <row r="55">
      <c r="A55" t="n">
        <v>54</v>
      </c>
      <c r="B55" t="inlineStr">
        <is>
          <t>prod_cons_bound/0004.ale</t>
        </is>
      </c>
      <c r="C55" t="n">
        <v>0.9609913075325043</v>
      </c>
      <c r="D55">
        <f>IF(A55&lt;=ROUNDUP(COUNTA($B$2:$B$57)*Método!$B$2,0),"SÍ","")</f>
        <v/>
      </c>
      <c r="E55" t="inlineStr"/>
      <c r="F55" t="inlineStr"/>
    </row>
    <row r="56">
      <c r="A56" t="n">
        <v>55</v>
      </c>
      <c r="B56" t="inlineStr">
        <is>
          <t>taskc_patterns/0003.ale</t>
        </is>
      </c>
      <c r="C56" t="n">
        <v>0.9936521543446755</v>
      </c>
      <c r="D56">
        <f>IF(A56&lt;=ROUNDUP(COUNTA($B$2:$B$57)*Método!$B$2,0),"SÍ","")</f>
        <v/>
      </c>
      <c r="E56" t="inlineStr"/>
      <c r="F56" t="inlineStr"/>
    </row>
    <row r="57">
      <c r="A57" t="n">
        <v>56</v>
      </c>
      <c r="B57" t="inlineStr">
        <is>
          <t>network_simul_packet_loss_fix/0002.ale</t>
        </is>
      </c>
      <c r="C57" t="n">
        <v>0.9951709042564906</v>
      </c>
      <c r="D57">
        <f>IF(A57&lt;=ROUNDUP(COUNTA($B$2:$B$57)*Método!$B$2,0),"SÍ","")</f>
        <v/>
      </c>
      <c r="E57" t="inlineStr"/>
      <c r="F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8" customWidth="1" min="3" max="3"/>
    <col width="10" customWidth="1" min="4" max="4"/>
    <col width="10" customWidth="1" min="5" max="5"/>
    <col width="40" customWidth="1" min="6" max="6"/>
  </cols>
  <sheetData>
    <row r="1">
      <c r="A1" s="1" t="inlineStr">
        <is>
          <t>Posición</t>
        </is>
      </c>
      <c r="B1" s="1" t="inlineStr">
        <is>
          <t>Ejercicio</t>
        </is>
      </c>
      <c r="C1" s="1" t="inlineStr">
        <is>
          <t>Aleatorio [0,1)</t>
        </is>
      </c>
      <c r="D1" s="1" t="inlineStr">
        <is>
          <t>Revisar</t>
        </is>
      </c>
      <c r="E1" s="1" t="inlineStr">
        <is>
          <t>Revisado</t>
        </is>
      </c>
      <c r="F1" s="1" t="inlineStr">
        <is>
          <t>Notas</t>
        </is>
      </c>
    </row>
    <row r="2">
      <c r="A2" s="3" t="n">
        <v>1</v>
      </c>
      <c r="B2" s="3" t="inlineStr">
        <is>
          <t>Y1/DRB169-missingsyncwrite-orig-yes.ale</t>
        </is>
      </c>
      <c r="C2" s="3" t="n">
        <v>0.02215256189204728</v>
      </c>
      <c r="D2" s="3">
        <f>IF(A2&lt;=ROUNDUP(COUNTA($B$2:$B$61)*Método!$B$2,0),"SÍ","")</f>
        <v/>
      </c>
      <c r="E2" s="3" t="inlineStr"/>
      <c r="F2" s="3" t="inlineStr"/>
    </row>
    <row r="3">
      <c r="A3" s="3" t="n">
        <v>2</v>
      </c>
      <c r="B3" s="3" t="inlineStr">
        <is>
          <t>Y2/DRB010-lastprivatemissing-var-yes.ale</t>
        </is>
      </c>
      <c r="C3" s="3" t="n">
        <v>0.03060669450293152</v>
      </c>
      <c r="D3" s="3">
        <f>IF(A3&lt;=ROUNDUP(COUNTA($B$2:$B$61)*Método!$B$2,0),"SÍ","")</f>
        <v/>
      </c>
      <c r="E3" s="3" t="inlineStr"/>
      <c r="F3" s="3" t="inlineStr"/>
    </row>
    <row r="4">
      <c r="A4" s="3" t="n">
        <v>3</v>
      </c>
      <c r="B4" s="3" t="inlineStr">
        <is>
          <t>Y2/DRB020-privatemissing-orig-yes.ale</t>
        </is>
      </c>
      <c r="C4" s="3" t="n">
        <v>0.03714857411438577</v>
      </c>
      <c r="D4" s="3">
        <f>IF(A4&lt;=ROUNDUP(COUNTA($B$2:$B$61)*Método!$B$2,0),"SÍ","")</f>
        <v/>
      </c>
      <c r="E4" s="3" t="inlineStr"/>
      <c r="F4" s="3" t="inlineStr"/>
    </row>
    <row r="5">
      <c r="A5" t="n">
        <v>4</v>
      </c>
      <c r="B5" t="inlineStr">
        <is>
          <t>N3/DRB172-critical2-orig-no.ale</t>
        </is>
      </c>
      <c r="C5" t="n">
        <v>0.06300080490043403</v>
      </c>
      <c r="D5">
        <f>IF(A5&lt;=ROUNDUP(COUNTA($B$2:$B$61)*Método!$B$2,0),"SÍ","")</f>
        <v/>
      </c>
      <c r="E5" t="inlineStr"/>
      <c r="F5" t="inlineStr"/>
    </row>
    <row r="6">
      <c r="A6" t="n">
        <v>5</v>
      </c>
      <c r="B6" t="inlineStr">
        <is>
          <t>N1/DRB103-master-orig-no.ale</t>
        </is>
      </c>
      <c r="C6" t="n">
        <v>0.07512412509761279</v>
      </c>
      <c r="D6">
        <f>IF(A6&lt;=ROUNDUP(COUNTA($B$2:$B$61)*Método!$B$2,0),"SÍ","")</f>
        <v/>
      </c>
      <c r="E6" t="inlineStr"/>
      <c r="F6" t="inlineStr"/>
    </row>
    <row r="7">
      <c r="A7" t="n">
        <v>6</v>
      </c>
      <c r="B7" t="inlineStr">
        <is>
          <t>Y3/DRB140-reduction-barrier-orig-yes.ale</t>
        </is>
      </c>
      <c r="C7" t="n">
        <v>0.09604904429146754</v>
      </c>
      <c r="D7">
        <f>IF(A7&lt;=ROUNDUP(COUNTA($B$2:$B$61)*Método!$B$2,0),"SÍ","")</f>
        <v/>
      </c>
      <c r="E7" t="inlineStr"/>
      <c r="F7" t="inlineStr"/>
    </row>
    <row r="8">
      <c r="A8" t="n">
        <v>7</v>
      </c>
      <c r="B8" t="inlineStr">
        <is>
          <t>Y2/DRB191-critical-section2-yes.ale</t>
        </is>
      </c>
      <c r="C8" t="n">
        <v>0.1022384041348974</v>
      </c>
      <c r="D8">
        <f>IF(A8&lt;=ROUNDUP(COUNTA($B$2:$B$61)*Método!$B$2,0),"SÍ","")</f>
        <v/>
      </c>
      <c r="E8" t="inlineStr"/>
      <c r="F8" t="inlineStr"/>
    </row>
    <row r="9">
      <c r="A9" t="n">
        <v>8</v>
      </c>
      <c r="B9" t="inlineStr">
        <is>
          <t>Y1/DRB003-antidep2-orig-yes.ale</t>
        </is>
      </c>
      <c r="C9" t="n">
        <v>0.1108836659938107</v>
      </c>
      <c r="D9">
        <f>IF(A9&lt;=ROUNDUP(COUNTA($B$2:$B$61)*Método!$B$2,0),"SÍ","")</f>
        <v/>
      </c>
      <c r="E9" t="inlineStr"/>
      <c r="F9" t="inlineStr"/>
    </row>
    <row r="10">
      <c r="A10" t="n">
        <v>9</v>
      </c>
      <c r="B10" t="inlineStr">
        <is>
          <t>Y1/DRB001-antidep1-orig-yes.ale</t>
        </is>
      </c>
      <c r="C10" t="n">
        <v>0.1134435072719181</v>
      </c>
      <c r="D10">
        <f>IF(A10&lt;=ROUNDUP(COUNTA($B$2:$B$61)*Método!$B$2,0),"SÍ","")</f>
        <v/>
      </c>
      <c r="E10" t="inlineStr"/>
      <c r="F10" t="inlineStr"/>
    </row>
    <row r="11">
      <c r="A11" t="n">
        <v>10</v>
      </c>
      <c r="B11" t="inlineStr">
        <is>
          <t>N2/DRB094-doall2-ordered-orig-no.ale</t>
        </is>
      </c>
      <c r="C11" t="n">
        <v>0.1140652611951122</v>
      </c>
      <c r="D11">
        <f>IF(A11&lt;=ROUNDUP(COUNTA($B$2:$B$61)*Método!$B$2,0),"SÍ","")</f>
        <v/>
      </c>
      <c r="E11" t="inlineStr"/>
      <c r="F11" t="inlineStr"/>
    </row>
    <row r="12">
      <c r="A12" t="n">
        <v>11</v>
      </c>
      <c r="B12" t="inlineStr">
        <is>
          <t>Y1/DRB030-truedep1-var-yes.ale</t>
        </is>
      </c>
      <c r="C12" t="n">
        <v>0.1423677180962737</v>
      </c>
      <c r="D12">
        <f>IF(A12&lt;=ROUNDUP(COUNTA($B$2:$B$61)*Método!$B$2,0),"SÍ","")</f>
        <v/>
      </c>
      <c r="E12" t="inlineStr"/>
      <c r="F12" t="inlineStr"/>
    </row>
    <row r="13">
      <c r="A13" t="n">
        <v>12</v>
      </c>
      <c r="B13" t="inlineStr">
        <is>
          <t>N1/DRB046-doall2-orig-no.ale</t>
        </is>
      </c>
      <c r="C13" t="n">
        <v>0.1464896416913132</v>
      </c>
      <c r="D13">
        <f>IF(A13&lt;=ROUNDUP(COUNTA($B$2:$B$61)*Método!$B$2,0),"SÍ","")</f>
        <v/>
      </c>
      <c r="E13" t="inlineStr"/>
      <c r="F13" t="inlineStr"/>
    </row>
    <row r="14">
      <c r="A14" t="n">
        <v>13</v>
      </c>
      <c r="B14" t="inlineStr">
        <is>
          <t>N2/DRB121-reduction-orig-no.ale</t>
        </is>
      </c>
      <c r="C14" t="n">
        <v>0.1566726856837501</v>
      </c>
      <c r="D14">
        <f>IF(A14&lt;=ROUNDUP(COUNTA($B$2:$B$61)*Método!$B$2,0),"SÍ","")</f>
        <v/>
      </c>
      <c r="E14" t="inlineStr"/>
      <c r="F14" t="inlineStr"/>
    </row>
    <row r="15">
      <c r="A15" t="n">
        <v>14</v>
      </c>
      <c r="B15" t="inlineStr">
        <is>
          <t>Y3/DRB012-minusminus-var-yes.ale</t>
        </is>
      </c>
      <c r="C15" t="n">
        <v>0.1599304311740168</v>
      </c>
      <c r="D15">
        <f>IF(A15&lt;=ROUNDUP(COUNTA($B$2:$B$61)*Método!$B$2,0),"SÍ","")</f>
        <v/>
      </c>
      <c r="E15" t="inlineStr"/>
      <c r="F15" t="inlineStr"/>
    </row>
    <row r="16">
      <c r="A16" t="n">
        <v>15</v>
      </c>
      <c r="B16" t="inlineStr">
        <is>
          <t>Y1/DRB004-antidep2-var-yes.ale</t>
        </is>
      </c>
      <c r="C16" t="n">
        <v>0.1610388226592951</v>
      </c>
      <c r="D16">
        <f>IF(A16&lt;=ROUNDUP(COUNTA($B$2:$B$61)*Método!$B$2,0),"SÍ","")</f>
        <v/>
      </c>
      <c r="E16" t="inlineStr"/>
      <c r="F16" t="inlineStr"/>
    </row>
    <row r="17">
      <c r="A17" t="n">
        <v>16</v>
      </c>
      <c r="B17" t="inlineStr">
        <is>
          <t>N7/DRB057-jacobiinitialize-orig-no.ale</t>
        </is>
      </c>
      <c r="C17" t="n">
        <v>0.1660416058632456</v>
      </c>
      <c r="D17">
        <f>IF(A17&lt;=ROUNDUP(COUNTA($B$2:$B$61)*Método!$B$2,0),"SÍ","")</f>
        <v/>
      </c>
      <c r="E17" t="inlineStr"/>
      <c r="F17" t="inlineStr"/>
    </row>
    <row r="18">
      <c r="A18" t="n">
        <v>17</v>
      </c>
      <c r="B18" t="inlineStr">
        <is>
          <t>Y1/DRB037-truedepseconddimension-orig-yes.ale</t>
        </is>
      </c>
      <c r="C18" t="n">
        <v>0.1679765823002197</v>
      </c>
      <c r="D18">
        <f>IF(A18&lt;=ROUNDUP(COUNTA($B$2:$B$61)*Método!$B$2,0),"SÍ","")</f>
        <v/>
      </c>
      <c r="E18" t="inlineStr"/>
      <c r="F18" t="inlineStr"/>
    </row>
    <row r="19">
      <c r="A19" t="n">
        <v>18</v>
      </c>
      <c r="B19" t="inlineStr">
        <is>
          <t>N2/DRB064-outeronly2-orig-no.ale</t>
        </is>
      </c>
      <c r="C19" t="n">
        <v>0.1876361778417237</v>
      </c>
      <c r="D19">
        <f>IF(A19&lt;=ROUNDUP(COUNTA($B$2:$B$61)*Método!$B$2,0),"SÍ","")</f>
        <v/>
      </c>
      <c r="E19" t="inlineStr"/>
      <c r="F19" t="inlineStr"/>
    </row>
    <row r="20">
      <c r="A20" t="n">
        <v>19</v>
      </c>
      <c r="B20" t="inlineStr">
        <is>
          <t>Y1/DRB019-plusplus-var-yes.ale</t>
        </is>
      </c>
      <c r="C20" t="n">
        <v>0.1979472772573959</v>
      </c>
      <c r="D20">
        <f>IF(A20&lt;=ROUNDUP(COUNTA($B$2:$B$61)*Método!$B$2,0),"SÍ","")</f>
        <v/>
      </c>
      <c r="E20" t="inlineStr"/>
      <c r="F20" t="inlineStr"/>
    </row>
    <row r="21">
      <c r="A21" t="n">
        <v>20</v>
      </c>
      <c r="B21" t="inlineStr">
        <is>
          <t>N2/DRB063-outeronly1-orig-no.ale</t>
        </is>
      </c>
      <c r="C21" t="n">
        <v>0.2106829231402093</v>
      </c>
      <c r="D21">
        <f>IF(A21&lt;=ROUNDUP(COUNTA($B$2:$B$61)*Método!$B$2,0),"SÍ","")</f>
        <v/>
      </c>
      <c r="E21" t="inlineStr"/>
      <c r="F21" t="inlineStr"/>
    </row>
    <row r="22">
      <c r="A22" t="n">
        <v>21</v>
      </c>
      <c r="B22" t="inlineStr">
        <is>
          <t>Y2/DRB028-privatemissing-orig-yes.ale</t>
        </is>
      </c>
      <c r="C22" t="n">
        <v>0.2305522058898354</v>
      </c>
      <c r="D22">
        <f>IF(A22&lt;=ROUNDUP(COUNTA($B$2:$B$61)*Método!$B$2,0),"SÍ","")</f>
        <v/>
      </c>
      <c r="E22" t="inlineStr"/>
      <c r="F22" t="inlineStr"/>
    </row>
    <row r="23">
      <c r="A23" t="n">
        <v>22</v>
      </c>
      <c r="B23" t="inlineStr">
        <is>
          <t>Y1/DRB031-truedepfirstdimension-orig-yes.ale</t>
        </is>
      </c>
      <c r="C23" t="n">
        <v>0.2396956037874404</v>
      </c>
      <c r="D23">
        <f>IF(A23&lt;=ROUNDUP(COUNTA($B$2:$B$61)*Método!$B$2,0),"SÍ","")</f>
        <v/>
      </c>
      <c r="E23" t="inlineStr"/>
      <c r="F23" t="inlineStr"/>
    </row>
    <row r="24">
      <c r="A24" t="n">
        <v>23</v>
      </c>
      <c r="B24" t="inlineStr">
        <is>
          <t>Y1/DRB033-truedeplinear-orig-yes.ale</t>
        </is>
      </c>
      <c r="C24" t="n">
        <v>0.2407984342290379</v>
      </c>
      <c r="D24">
        <f>IF(A24&lt;=ROUNDUP(COUNTA($B$2:$B$61)*Método!$B$2,0),"SÍ","")</f>
        <v/>
      </c>
      <c r="E24" t="inlineStr"/>
      <c r="F24" t="inlineStr"/>
    </row>
    <row r="25">
      <c r="A25" t="n">
        <v>24</v>
      </c>
      <c r="B25" t="inlineStr">
        <is>
          <t>N1/DRB047-doallchar-orig-no.ale</t>
        </is>
      </c>
      <c r="C25" t="n">
        <v>0.2441100973193764</v>
      </c>
      <c r="D25">
        <f>IF(A25&lt;=ROUNDUP(COUNTA($B$2:$B$61)*Método!$B$2,0),"SÍ","")</f>
        <v/>
      </c>
      <c r="E25" t="inlineStr"/>
      <c r="F25" t="inlineStr"/>
    </row>
    <row r="26">
      <c r="A26" t="n">
        <v>25</v>
      </c>
      <c r="B26" t="inlineStr">
        <is>
          <t>Y3/DRB011-minusminus-orig-yes.ale</t>
        </is>
      </c>
      <c r="C26" t="n">
        <v>0.2512879734972371</v>
      </c>
      <c r="D26">
        <f>IF(A26&lt;=ROUNDUP(COUNTA($B$2:$B$61)*Método!$B$2,0),"SÍ","")</f>
        <v/>
      </c>
      <c r="E26" t="inlineStr"/>
      <c r="F26" t="inlineStr"/>
    </row>
    <row r="27">
      <c r="A27" t="n">
        <v>26</v>
      </c>
      <c r="B27" t="inlineStr">
        <is>
          <t>N2/DRB062-matrixvector2-orig-no.ale</t>
        </is>
      </c>
      <c r="C27" t="n">
        <v>0.2619374213250923</v>
      </c>
      <c r="D27">
        <f>IF(A27&lt;=ROUNDUP(COUNTA($B$2:$B$61)*Método!$B$2,0),"SÍ","")</f>
        <v/>
      </c>
      <c r="E27" t="inlineStr"/>
      <c r="F27" t="inlineStr"/>
    </row>
    <row r="28">
      <c r="A28" t="n">
        <v>27</v>
      </c>
      <c r="B28" t="inlineStr">
        <is>
          <t>Y1/DRB016-outputdep-orig-yes.ale</t>
        </is>
      </c>
      <c r="C28" t="n">
        <v>0.2891081144767353</v>
      </c>
      <c r="D28">
        <f>IF(A28&lt;=ROUNDUP(COUNTA($B$2:$B$61)*Método!$B$2,0),"SÍ","")</f>
        <v/>
      </c>
      <c r="E28" t="inlineStr"/>
      <c r="F28" t="inlineStr"/>
    </row>
    <row r="29">
      <c r="A29" t="n">
        <v>28</v>
      </c>
      <c r="B29" t="inlineStr">
        <is>
          <t>N3/DRB190-critical-section2-no.ale</t>
        </is>
      </c>
      <c r="C29" t="n">
        <v>0.3290224543847335</v>
      </c>
      <c r="D29">
        <f>IF(A29&lt;=ROUNDUP(COUNTA($B$2:$B$61)*Método!$B$2,0),"SÍ","")</f>
        <v/>
      </c>
      <c r="E29" t="inlineStr"/>
      <c r="F29" t="inlineStr"/>
    </row>
    <row r="30">
      <c r="A30" t="n">
        <v>29</v>
      </c>
      <c r="B30" t="inlineStr">
        <is>
          <t>Y1/DRB029-truedep1-orig-yes.ale</t>
        </is>
      </c>
      <c r="C30" t="n">
        <v>0.338430944598337</v>
      </c>
      <c r="D30">
        <f>IF(A30&lt;=ROUNDUP(COUNTA($B$2:$B$61)*Método!$B$2,0),"SÍ","")</f>
        <v/>
      </c>
      <c r="E30" t="inlineStr"/>
      <c r="F30" t="inlineStr"/>
    </row>
    <row r="31">
      <c r="A31" t="n">
        <v>30</v>
      </c>
      <c r="B31" t="inlineStr">
        <is>
          <t>Y1/DRB002-antidep1-var-yes.ale</t>
        </is>
      </c>
      <c r="C31" t="n">
        <v>0.3480499617788543</v>
      </c>
      <c r="D31">
        <f>IF(A31&lt;=ROUNDUP(COUNTA($B$2:$B$61)*Método!$B$2,0),"SÍ","")</f>
        <v/>
      </c>
      <c r="E31" t="inlineStr"/>
      <c r="F31" t="inlineStr"/>
    </row>
    <row r="32">
      <c r="A32" t="n">
        <v>31</v>
      </c>
      <c r="B32" t="inlineStr">
        <is>
          <t>N3/DRB108-atomic-orig-no.ale</t>
        </is>
      </c>
      <c r="C32" t="n">
        <v>0.3781982305122367</v>
      </c>
      <c r="D32">
        <f>IF(A32&lt;=ROUNDUP(COUNTA($B$2:$B$61)*Método!$B$2,0),"SÍ","")</f>
        <v/>
      </c>
      <c r="E32" t="inlineStr"/>
      <c r="F32" t="inlineStr"/>
    </row>
    <row r="33">
      <c r="A33" t="n">
        <v>32</v>
      </c>
      <c r="B33" t="inlineStr">
        <is>
          <t>N1/DRB045-doall1-orig-no.ale</t>
        </is>
      </c>
      <c r="C33" t="n">
        <v>0.379465128455671</v>
      </c>
      <c r="D33">
        <f>IF(A33&lt;=ROUNDUP(COUNTA($B$2:$B$61)*Método!$B$2,0),"SÍ","")</f>
        <v/>
      </c>
      <c r="E33" t="inlineStr"/>
      <c r="F33" t="inlineStr"/>
    </row>
    <row r="34">
      <c r="A34" t="n">
        <v>33</v>
      </c>
      <c r="B34" t="inlineStr">
        <is>
          <t>N7/DRB058-jacobikernel-orig-no.ale</t>
        </is>
      </c>
      <c r="C34" t="n">
        <v>0.3860377713100684</v>
      </c>
      <c r="D34">
        <f>IF(A34&lt;=ROUNDUP(COUNTA($B$2:$B$61)*Método!$B$2,0),"SÍ","")</f>
        <v/>
      </c>
      <c r="E34" t="inlineStr"/>
      <c r="F34" t="inlineStr"/>
    </row>
    <row r="35">
      <c r="A35" t="n">
        <v>34</v>
      </c>
      <c r="B35" t="inlineStr">
        <is>
          <t>N7/DRB065-pireduction-orig-no.ale</t>
        </is>
      </c>
      <c r="C35" t="n">
        <v>0.3963499959764308</v>
      </c>
      <c r="D35">
        <f>IF(A35&lt;=ROUNDUP(COUNTA($B$2:$B$61)*Método!$B$2,0),"SÍ","")</f>
        <v/>
      </c>
      <c r="E35" t="inlineStr"/>
      <c r="F35" t="inlineStr"/>
    </row>
    <row r="36">
      <c r="A36" t="n">
        <v>35</v>
      </c>
      <c r="B36" t="inlineStr">
        <is>
          <t>Y1/DRB034-truedeplinear-var-yes.ale</t>
        </is>
      </c>
      <c r="C36" t="n">
        <v>0.4068387538049889</v>
      </c>
      <c r="D36">
        <f>IF(A36&lt;=ROUNDUP(COUNTA($B$2:$B$61)*Método!$B$2,0),"SÍ","")</f>
        <v/>
      </c>
      <c r="E36" t="inlineStr"/>
      <c r="F36" t="inlineStr"/>
    </row>
    <row r="37">
      <c r="A37" t="n">
        <v>36</v>
      </c>
      <c r="B37" t="inlineStr">
        <is>
          <t>Y2/DRB009-lastprivatemissing-orig-yes.ale</t>
        </is>
      </c>
      <c r="C37" t="n">
        <v>0.4315373624277197</v>
      </c>
      <c r="D37">
        <f>IF(A37&lt;=ROUNDUP(COUNTA($B$2:$B$61)*Método!$B$2,0),"SÍ","")</f>
        <v/>
      </c>
      <c r="E37" t="inlineStr"/>
      <c r="F37" t="inlineStr"/>
    </row>
    <row r="38">
      <c r="A38" t="n">
        <v>37</v>
      </c>
      <c r="B38" t="inlineStr">
        <is>
          <t>Y1/DRB036-truedepscalar-var-yes.ale</t>
        </is>
      </c>
      <c r="C38" t="n">
        <v>0.4699603855688211</v>
      </c>
      <c r="D38">
        <f>IF(A38&lt;=ROUNDUP(COUNTA($B$2:$B$61)*Método!$B$2,0),"SÍ","")</f>
        <v/>
      </c>
      <c r="E38" t="inlineStr"/>
      <c r="F38" t="inlineStr"/>
    </row>
    <row r="39">
      <c r="A39" t="n">
        <v>38</v>
      </c>
      <c r="B39" t="inlineStr">
        <is>
          <t>Y1/DRB040-truedepsingleelement-var-yes.ale</t>
        </is>
      </c>
      <c r="C39" t="n">
        <v>0.5249355756958254</v>
      </c>
      <c r="D39">
        <f>IF(A39&lt;=ROUNDUP(COUNTA($B$2:$B$61)*Método!$B$2,0),"SÍ","")</f>
        <v/>
      </c>
      <c r="E39" t="inlineStr"/>
      <c r="F39" t="inlineStr"/>
    </row>
    <row r="40">
      <c r="A40" t="n">
        <v>39</v>
      </c>
      <c r="B40" t="inlineStr">
        <is>
          <t>Y1/DRB018-plusplus-orig-yes.ale</t>
        </is>
      </c>
      <c r="C40" t="n">
        <v>0.5696735640207687</v>
      </c>
      <c r="D40">
        <f>IF(A40&lt;=ROUNDUP(COUNTA($B$2:$B$61)*Método!$B$2,0),"SÍ","")</f>
        <v/>
      </c>
      <c r="E40" t="inlineStr"/>
      <c r="F40" t="inlineStr"/>
    </row>
    <row r="41">
      <c r="A41" t="n">
        <v>40</v>
      </c>
      <c r="B41" t="inlineStr">
        <is>
          <t>Y2/DRB021-reductionmissing-orig-yes.ale</t>
        </is>
      </c>
      <c r="C41" t="n">
        <v>0.5786989878997469</v>
      </c>
      <c r="D41">
        <f>IF(A41&lt;=ROUNDUP(COUNTA($B$2:$B$61)*Método!$B$2,0),"SÍ","")</f>
        <v/>
      </c>
      <c r="E41" t="inlineStr"/>
      <c r="F41" t="inlineStr"/>
    </row>
    <row r="42">
      <c r="A42" t="n">
        <v>41</v>
      </c>
      <c r="B42" t="inlineStr">
        <is>
          <t>N3/DRB141-reduction-barrier-orig-no.ale</t>
        </is>
      </c>
      <c r="C42" t="n">
        <v>0.6137610979354429</v>
      </c>
      <c r="D42">
        <f>IF(A42&lt;=ROUNDUP(COUNTA($B$2:$B$61)*Método!$B$2,0),"SÍ","")</f>
        <v/>
      </c>
      <c r="E42" t="inlineStr"/>
      <c r="F42" t="inlineStr"/>
    </row>
    <row r="43">
      <c r="A43" t="n">
        <v>42</v>
      </c>
      <c r="B43" t="inlineStr">
        <is>
          <t>N1/DRB113-default-orig-no.ale</t>
        </is>
      </c>
      <c r="C43" t="n">
        <v>0.6142461896653222</v>
      </c>
      <c r="D43">
        <f>IF(A43&lt;=ROUNDUP(COUNTA($B$2:$B$61)*Método!$B$2,0),"SÍ","")</f>
        <v/>
      </c>
      <c r="E43" t="inlineStr"/>
      <c r="F43" t="inlineStr"/>
    </row>
    <row r="44">
      <c r="A44" t="n">
        <v>43</v>
      </c>
      <c r="B44" t="inlineStr">
        <is>
          <t>N2/DRB093-doall2-collapse-orig-no.ale</t>
        </is>
      </c>
      <c r="C44" t="n">
        <v>0.6198368510836441</v>
      </c>
      <c r="D44">
        <f>IF(A44&lt;=ROUNDUP(COUNTA($B$2:$B$61)*Método!$B$2,0),"SÍ","")</f>
        <v/>
      </c>
      <c r="E44" t="inlineStr"/>
      <c r="F44" t="inlineStr"/>
    </row>
    <row r="45">
      <c r="A45" t="n">
        <v>44</v>
      </c>
      <c r="B45" t="inlineStr">
        <is>
          <t>N1/DRB077-single-orig-no.ale</t>
        </is>
      </c>
      <c r="C45" t="n">
        <v>0.6548743106887993</v>
      </c>
      <c r="D45">
        <f>IF(A45&lt;=ROUNDUP(COUNTA($B$2:$B$61)*Método!$B$2,0),"SÍ","")</f>
        <v/>
      </c>
      <c r="E45" t="inlineStr"/>
      <c r="F45" t="inlineStr"/>
    </row>
    <row r="46">
      <c r="A46" t="n">
        <v>45</v>
      </c>
      <c r="B46" t="inlineStr">
        <is>
          <t>Y1/DRB032-truedepfirstdimension-var-yes.ale</t>
        </is>
      </c>
      <c r="C46" t="n">
        <v>0.6716443525696534</v>
      </c>
      <c r="D46">
        <f>IF(A46&lt;=ROUNDUP(COUNTA($B$2:$B$61)*Método!$B$2,0),"SÍ","")</f>
        <v/>
      </c>
      <c r="E46" t="inlineStr"/>
      <c r="F46" t="inlineStr"/>
    </row>
    <row r="47">
      <c r="A47" t="n">
        <v>46</v>
      </c>
      <c r="B47" t="inlineStr">
        <is>
          <t>N3/DRB120-barrier-orig-no.ale</t>
        </is>
      </c>
      <c r="C47" t="n">
        <v>0.7118598284748123</v>
      </c>
      <c r="D47">
        <f>IF(A47&lt;=ROUNDUP(COUNTA($B$2:$B$61)*Método!$B$2,0),"SÍ","")</f>
        <v/>
      </c>
      <c r="E47" t="inlineStr"/>
      <c r="F47" t="inlineStr"/>
    </row>
    <row r="48">
      <c r="A48" t="n">
        <v>47</v>
      </c>
      <c r="B48" t="inlineStr">
        <is>
          <t>Y1/DRB038-truedepseconddimension-var-yes.ale</t>
        </is>
      </c>
      <c r="C48" t="n">
        <v>0.7182695641826691</v>
      </c>
      <c r="D48">
        <f>IF(A48&lt;=ROUNDUP(COUNTA($B$2:$B$61)*Método!$B$2,0),"SÍ","")</f>
        <v/>
      </c>
      <c r="E48" t="inlineStr"/>
      <c r="F48" t="inlineStr"/>
    </row>
    <row r="49">
      <c r="A49" t="n">
        <v>48</v>
      </c>
      <c r="B49" t="inlineStr">
        <is>
          <t>Y1/DRB017-outputdep-var-yes.ale</t>
        </is>
      </c>
      <c r="C49" t="n">
        <v>0.7421473232020439</v>
      </c>
      <c r="D49">
        <f>IF(A49&lt;=ROUNDUP(COUNTA($B$2:$B$61)*Método!$B$2,0),"SÍ","")</f>
        <v/>
      </c>
      <c r="E49" t="inlineStr"/>
      <c r="F49" t="inlineStr"/>
    </row>
    <row r="50">
      <c r="A50" t="n">
        <v>49</v>
      </c>
      <c r="B50" t="inlineStr">
        <is>
          <t>Y2/DRB022-reductionmissing-var-yes.ale</t>
        </is>
      </c>
      <c r="C50" t="n">
        <v>0.7705699885793414</v>
      </c>
      <c r="D50">
        <f>IF(A50&lt;=ROUNDUP(COUNTA($B$2:$B$61)*Método!$B$2,0),"SÍ","")</f>
        <v/>
      </c>
      <c r="E50" t="inlineStr"/>
      <c r="F50" t="inlineStr"/>
    </row>
    <row r="51">
      <c r="A51" t="n">
        <v>50</v>
      </c>
      <c r="B51" t="inlineStr">
        <is>
          <t>N1/DRB054-inneronly2-orig-no.ale</t>
        </is>
      </c>
      <c r="C51" t="n">
        <v>0.7899542402307549</v>
      </c>
      <c r="D51">
        <f>IF(A51&lt;=ROUNDUP(COUNTA($B$2:$B$61)*Método!$B$2,0),"SÍ","")</f>
        <v/>
      </c>
      <c r="E51" t="inlineStr"/>
      <c r="F51" t="inlineStr"/>
    </row>
    <row r="52">
      <c r="A52" t="n">
        <v>51</v>
      </c>
      <c r="B52" t="inlineStr">
        <is>
          <t>N2/DRB048-firstprivate-orig-no.ale</t>
        </is>
      </c>
      <c r="C52" t="n">
        <v>0.797820115193634</v>
      </c>
      <c r="D52">
        <f>IF(A52&lt;=ROUNDUP(COUNTA($B$2:$B$61)*Método!$B$2,0),"SÍ","")</f>
        <v/>
      </c>
      <c r="E52" t="inlineStr"/>
      <c r="F52" t="inlineStr"/>
    </row>
    <row r="53">
      <c r="A53" t="n">
        <v>52</v>
      </c>
      <c r="B53" t="inlineStr">
        <is>
          <t>Y2/DRB111-linearmissing-orig-yes.ale</t>
        </is>
      </c>
      <c r="C53" t="n">
        <v>0.8003286101768483</v>
      </c>
      <c r="D53">
        <f>IF(A53&lt;=ROUNDUP(COUNTA($B$2:$B$61)*Método!$B$2,0),"SÍ","")</f>
        <v/>
      </c>
      <c r="E53" t="inlineStr"/>
      <c r="F53" t="inlineStr"/>
    </row>
    <row r="54">
      <c r="A54" t="n">
        <v>53</v>
      </c>
      <c r="B54" t="inlineStr">
        <is>
          <t>Y2/DRB023-reductionmissing-var-yes.ale</t>
        </is>
      </c>
      <c r="C54" t="n">
        <v>0.8155380986290798</v>
      </c>
      <c r="D54">
        <f>IF(A54&lt;=ROUNDUP(COUNTA($B$2:$B$61)*Método!$B$2,0),"SÍ","")</f>
        <v/>
      </c>
      <c r="E54" t="inlineStr"/>
      <c r="F54" t="inlineStr"/>
    </row>
    <row r="55">
      <c r="A55" t="n">
        <v>54</v>
      </c>
      <c r="B55" t="inlineStr">
        <is>
          <t>N1/DRB053-inneronly1-orig-no.ale</t>
        </is>
      </c>
      <c r="C55" t="n">
        <v>0.8562452601291317</v>
      </c>
      <c r="D55">
        <f>IF(A55&lt;=ROUNDUP(COUNTA($B$2:$B$61)*Método!$B$2,0),"SÍ","")</f>
        <v/>
      </c>
      <c r="E55" t="inlineStr"/>
      <c r="F55" t="inlineStr"/>
    </row>
    <row r="56">
      <c r="A56" t="n">
        <v>55</v>
      </c>
      <c r="B56" t="inlineStr">
        <is>
          <t>Y1/DRB035-truedepscalar-orig-yes.ale</t>
        </is>
      </c>
      <c r="C56" t="n">
        <v>0.8649819952905886</v>
      </c>
      <c r="D56">
        <f>IF(A56&lt;=ROUNDUP(COUNTA($B$2:$B$61)*Método!$B$2,0),"SÍ","")</f>
        <v/>
      </c>
      <c r="E56" t="inlineStr"/>
      <c r="F56" t="inlineStr"/>
    </row>
    <row r="57">
      <c r="A57" t="n">
        <v>56</v>
      </c>
      <c r="B57" t="inlineStr">
        <is>
          <t>N2/DRB170-nestedloops-orig-no.ale</t>
        </is>
      </c>
      <c r="C57" t="n">
        <v>0.9059557293314938</v>
      </c>
      <c r="D57">
        <f>IF(A57&lt;=ROUNDUP(COUNTA($B$2:$B$61)*Método!$B$2,0),"SÍ","")</f>
        <v/>
      </c>
      <c r="E57" t="inlineStr"/>
      <c r="F57" t="inlineStr"/>
    </row>
    <row r="58">
      <c r="A58" t="n">
        <v>57</v>
      </c>
      <c r="B58" t="inlineStr">
        <is>
          <t>N2/DRB061-matrixvector1-orig-no.ale</t>
        </is>
      </c>
      <c r="C58" t="n">
        <v>0.9119145000711458</v>
      </c>
      <c r="D58">
        <f>IF(A58&lt;=ROUNDUP(COUNTA($B$2:$B$61)*Método!$B$2,0),"SÍ","")</f>
        <v/>
      </c>
      <c r="E58" t="inlineStr"/>
      <c r="F58" t="inlineStr"/>
    </row>
    <row r="59">
      <c r="A59" t="n">
        <v>58</v>
      </c>
      <c r="B59" t="inlineStr">
        <is>
          <t>Y1/DRB039-truedepsingleelement-orig-yes.ale</t>
        </is>
      </c>
      <c r="C59" t="n">
        <v>0.9138604030678918</v>
      </c>
      <c r="D59">
        <f>IF(A59&lt;=ROUNDUP(COUNTA($B$2:$B$61)*Método!$B$2,0),"SÍ","")</f>
        <v/>
      </c>
      <c r="E59" t="inlineStr"/>
      <c r="F59" t="inlineStr"/>
    </row>
    <row r="60">
      <c r="A60" t="n">
        <v>59</v>
      </c>
      <c r="B60" t="inlineStr">
        <is>
          <t>N2/DRB060-matrixmultiply-orig-no.ale</t>
        </is>
      </c>
      <c r="C60" t="n">
        <v>0.9381508761851265</v>
      </c>
      <c r="D60">
        <f>IF(A60&lt;=ROUNDUP(COUNTA($B$2:$B$61)*Método!$B$2,0),"SÍ","")</f>
        <v/>
      </c>
      <c r="E60" t="inlineStr"/>
      <c r="F60" t="inlineStr"/>
    </row>
    <row r="61">
      <c r="A61" t="n">
        <v>60</v>
      </c>
      <c r="B61" t="inlineStr">
        <is>
          <t>Y1/DRB075-getthreadnum-orig-yes.ale</t>
        </is>
      </c>
      <c r="C61" t="n">
        <v>0.992637549086906</v>
      </c>
      <c r="D61">
        <f>IF(A61&lt;=ROUNDUP(COUNTA($B$2:$B$61)*Método!$B$2,0),"SÍ","")</f>
        <v/>
      </c>
      <c r="E61" t="inlineStr"/>
      <c r="F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8" customWidth="1" min="3" max="3"/>
    <col width="10" customWidth="1" min="4" max="4"/>
    <col width="10" customWidth="1" min="5" max="5"/>
    <col width="40" customWidth="1" min="6" max="6"/>
  </cols>
  <sheetData>
    <row r="1">
      <c r="A1" s="1" t="inlineStr">
        <is>
          <t>Posición</t>
        </is>
      </c>
      <c r="B1" s="1" t="inlineStr">
        <is>
          <t>Ejercicio</t>
        </is>
      </c>
      <c r="C1" s="1" t="inlineStr">
        <is>
          <t>Aleatorio [0,1)</t>
        </is>
      </c>
      <c r="D1" s="1" t="inlineStr">
        <is>
          <t>Revisar</t>
        </is>
      </c>
      <c r="E1" s="1" t="inlineStr">
        <is>
          <t>Revisado</t>
        </is>
      </c>
      <c r="F1" s="1" t="inlineStr">
        <is>
          <t>Notas</t>
        </is>
      </c>
    </row>
    <row r="2">
      <c r="A2" s="3" t="n">
        <v>1</v>
      </c>
      <c r="B2" s="3" t="inlineStr">
        <is>
          <t>OMP_Private/with_datarace/isum-nolock-yes.ale</t>
        </is>
      </c>
      <c r="C2" s="3" t="n">
        <v>0.0005781214317894801</v>
      </c>
      <c r="D2" s="3">
        <f>IF(A2&lt;=ROUNDUP(COUNTA($B$2:$B$97)*Método!$B$2,0),"SÍ","")</f>
        <v/>
      </c>
      <c r="E2" s="3" t="inlineStr"/>
      <c r="F2" s="3" t="inlineStr"/>
    </row>
    <row r="3">
      <c r="A3" s="3" t="n">
        <v>2</v>
      </c>
      <c r="B3" s="3" t="inlineStr">
        <is>
          <t>OMP_Critical/with_datarace/fetch-increment-nolock-yes.ale</t>
        </is>
      </c>
      <c r="C3" s="3" t="n">
        <v>0.02575662693914682</v>
      </c>
      <c r="D3" s="3">
        <f>IF(A3&lt;=ROUNDUP(COUNTA($B$2:$B$97)*Método!$B$2,0),"SÍ","")</f>
        <v/>
      </c>
      <c r="E3" s="3" t="inlineStr"/>
      <c r="F3" s="3" t="inlineStr"/>
    </row>
    <row r="4">
      <c r="A4" s="3" t="n">
        <v>3</v>
      </c>
      <c r="B4" s="3" t="inlineStr">
        <is>
          <t>POSIX_Lock_Primitives/without_datarace/counter-mutex-no.ale</t>
        </is>
      </c>
      <c r="C4" s="3" t="n">
        <v>0.02879992631497952</v>
      </c>
      <c r="D4" s="3">
        <f>IF(A4&lt;=ROUNDUP(COUNTA($B$2:$B$97)*Método!$B$2,0),"SÍ","")</f>
        <v/>
      </c>
      <c r="E4" s="3" t="inlineStr"/>
      <c r="F4" s="3" t="inlineStr"/>
    </row>
    <row r="5">
      <c r="A5" s="3" t="n">
        <v>4</v>
      </c>
      <c r="B5" s="3" t="inlineStr">
        <is>
          <t>POSIX_Lock_Primitives/without_datarace/circular-buffer-cond-no.ale</t>
        </is>
      </c>
      <c r="C5" s="3" t="n">
        <v>0.03143438565818901</v>
      </c>
      <c r="D5" s="3">
        <f>IF(A5&lt;=ROUNDUP(COUNTA($B$2:$B$97)*Método!$B$2,0),"SÍ","")</f>
        <v/>
      </c>
      <c r="E5" s="3" t="inlineStr"/>
      <c r="F5" s="3" t="inlineStr"/>
    </row>
    <row r="6">
      <c r="A6" s="3" t="n">
        <v>5</v>
      </c>
      <c r="B6" s="3" t="inlineStr">
        <is>
          <t>OMP_Critical/with_datarace/shared-a-pfor-yes.ale</t>
        </is>
      </c>
      <c r="C6" s="3" t="n">
        <v>0.03367556928934679</v>
      </c>
      <c r="D6" s="3">
        <f>IF(A6&lt;=ROUNDUP(COUNTA($B$2:$B$97)*Método!$B$2,0),"SÍ","")</f>
        <v/>
      </c>
      <c r="E6" s="3" t="inlineStr"/>
      <c r="F6" s="3" t="inlineStr"/>
    </row>
    <row r="7">
      <c r="A7" t="n">
        <v>6</v>
      </c>
      <c r="B7" t="inlineStr">
        <is>
          <t>POSIX_Lock_Primitives/without_datarace/count-threshold-outer-cond-yes.ale</t>
        </is>
      </c>
      <c r="C7" t="n">
        <v>0.03622267071620711</v>
      </c>
      <c r="D7">
        <f>IF(A7&lt;=ROUNDUP(COUNTA($B$2:$B$97)*Método!$B$2,0),"SÍ","")</f>
        <v/>
      </c>
      <c r="E7" t="inlineStr"/>
      <c r="F7" t="inlineStr"/>
    </row>
    <row r="8">
      <c r="A8" t="n">
        <v>7</v>
      </c>
      <c r="B8" t="inlineStr">
        <is>
          <t>OMP_Critical/with_datarace/parallel-increment-yes.ale</t>
        </is>
      </c>
      <c r="C8" t="n">
        <v>0.05485287261035032</v>
      </c>
      <c r="D8">
        <f>IF(A8&lt;=ROUNDUP(COUNTA($B$2:$B$97)*Método!$B$2,0),"SÍ","")</f>
        <v/>
      </c>
      <c r="E8" t="inlineStr"/>
      <c r="F8" t="inlineStr"/>
    </row>
    <row r="9">
      <c r="A9" t="n">
        <v>8</v>
      </c>
      <c r="B9" t="inlineStr">
        <is>
          <t>OMP_Private/without_datarace/matrix_part1_-_main.ale</t>
        </is>
      </c>
      <c r="C9" t="n">
        <v>0.06437778729147103</v>
      </c>
      <c r="D9">
        <f>IF(A9&lt;=ROUNDUP(COUNTA($B$2:$B$97)*Método!$B$2,0),"SÍ","")</f>
        <v/>
      </c>
      <c r="E9" t="inlineStr"/>
      <c r="F9" t="inlineStr"/>
    </row>
    <row r="10">
      <c r="A10" t="n">
        <v>9</v>
      </c>
      <c r="B10" t="inlineStr">
        <is>
          <t>POSIX_Lock_Primitives/with_datarace/flag-nolock-yes.ale</t>
        </is>
      </c>
      <c r="C10" t="n">
        <v>0.1209321152882781</v>
      </c>
      <c r="D10">
        <f>IF(A10&lt;=ROUNDUP(COUNTA($B$2:$B$97)*Método!$B$2,0),"SÍ","")</f>
        <v/>
      </c>
      <c r="E10" t="inlineStr"/>
      <c r="F10" t="inlineStr"/>
    </row>
    <row r="11">
      <c r="A11" t="n">
        <v>10</v>
      </c>
      <c r="B11" t="inlineStr">
        <is>
          <t>OMP_Private/without_datarace/local-myid-pfor-no.ale</t>
        </is>
      </c>
      <c r="C11" t="n">
        <v>0.1291858427361212</v>
      </c>
      <c r="D11">
        <f>IF(A11&lt;=ROUNDUP(COUNTA($B$2:$B$97)*Método!$B$2,0),"SÍ","")</f>
        <v/>
      </c>
      <c r="E11" t="inlineStr"/>
      <c r="F11" t="inlineStr"/>
    </row>
    <row r="12">
      <c r="A12" t="n">
        <v>11</v>
      </c>
      <c r="B12" t="inlineStr">
        <is>
          <t>OMP_Critical/without_datarace/critical-id-no.ale</t>
        </is>
      </c>
      <c r="C12" t="n">
        <v>0.1406431867160385</v>
      </c>
      <c r="D12">
        <f>IF(A12&lt;=ROUNDUP(COUNTA($B$2:$B$97)*Método!$B$2,0),"SÍ","")</f>
        <v/>
      </c>
      <c r="E12" t="inlineStr"/>
      <c r="F12" t="inlineStr"/>
    </row>
    <row r="13">
      <c r="A13" t="n">
        <v>12</v>
      </c>
      <c r="B13" t="inlineStr">
        <is>
          <t>OMP_Critical/without_datarace/hello-atomic-no.ale</t>
        </is>
      </c>
      <c r="C13" t="n">
        <v>0.142278478063499</v>
      </c>
      <c r="D13">
        <f>IF(A13&lt;=ROUNDUP(COUNTA($B$2:$B$97)*Método!$B$2,0),"SÍ","")</f>
        <v/>
      </c>
      <c r="E13" t="inlineStr"/>
      <c r="F13" t="inlineStr"/>
    </row>
    <row r="14">
      <c r="A14" t="n">
        <v>13</v>
      </c>
      <c r="B14" t="inlineStr">
        <is>
          <t>OMP_Critical/with_datarace/float-pi-nolock-yes.ale</t>
        </is>
      </c>
      <c r="C14" t="n">
        <v>0.148037810857143</v>
      </c>
      <c r="D14">
        <f>IF(A14&lt;=ROUNDUP(COUNTA($B$2:$B$97)*Método!$B$2,0),"SÍ","")</f>
        <v/>
      </c>
      <c r="E14" t="inlineStr"/>
      <c r="F14" t="inlineStr"/>
    </row>
    <row r="15">
      <c r="A15" t="n">
        <v>14</v>
      </c>
      <c r="B15" t="inlineStr">
        <is>
          <t>OMP_Critical/without_datarace/reduction-mutex-no.ale</t>
        </is>
      </c>
      <c r="C15" t="n">
        <v>0.1606107087461214</v>
      </c>
      <c r="D15">
        <f>IF(A15&lt;=ROUNDUP(COUNTA($B$2:$B$97)*Método!$B$2,0),"SÍ","")</f>
        <v/>
      </c>
      <c r="E15" t="inlineStr"/>
      <c r="F15" t="inlineStr"/>
    </row>
    <row r="16">
      <c r="A16" t="n">
        <v>15</v>
      </c>
      <c r="B16" t="inlineStr">
        <is>
          <t>OMP_Critical/with_datarace/global-max-nolock-yes.ale</t>
        </is>
      </c>
      <c r="C16" t="n">
        <v>0.178473259353915</v>
      </c>
      <c r="D16">
        <f>IF(A16&lt;=ROUNDUP(COUNTA($B$2:$B$97)*Método!$B$2,0),"SÍ","")</f>
        <v/>
      </c>
      <c r="E16" t="inlineStr"/>
      <c r="F16" t="inlineStr"/>
    </row>
    <row r="17">
      <c r="A17" t="n">
        <v>16</v>
      </c>
      <c r="B17" t="inlineStr">
        <is>
          <t>OMP_Critical/without_datarace/min-max-avg-mutex-no.ale</t>
        </is>
      </c>
      <c r="C17" t="n">
        <v>0.183607500826741</v>
      </c>
      <c r="D17">
        <f>IF(A17&lt;=ROUNDUP(COUNTA($B$2:$B$97)*Método!$B$2,0),"SÍ","")</f>
        <v/>
      </c>
      <c r="E17" t="inlineStr"/>
      <c r="F17" t="inlineStr"/>
    </row>
    <row r="18">
      <c r="A18" t="n">
        <v>17</v>
      </c>
      <c r="B18" t="inlineStr">
        <is>
          <t>OMP_Critical/without_datarace/float-pi-padded-no.ale</t>
        </is>
      </c>
      <c r="C18" t="n">
        <v>0.1986773107580768</v>
      </c>
      <c r="D18">
        <f>IF(A18&lt;=ROUNDUP(COUNTA($B$2:$B$97)*Método!$B$2,0),"SÍ","")</f>
        <v/>
      </c>
      <c r="E18" t="inlineStr"/>
      <c r="F18" t="inlineStr"/>
    </row>
    <row r="19">
      <c r="A19" t="n">
        <v>18</v>
      </c>
      <c r="B19" t="inlineStr">
        <is>
          <t>OMP_Critical/without_datarace/histogramaSerie_-_main.ale</t>
        </is>
      </c>
      <c r="C19" t="n">
        <v>0.2006135609232703</v>
      </c>
      <c r="D19">
        <f>IF(A19&lt;=ROUNDUP(COUNTA($B$2:$B$97)*Método!$B$2,0),"SÍ","")</f>
        <v/>
      </c>
      <c r="E19" t="inlineStr"/>
      <c r="F19" t="inlineStr"/>
    </row>
    <row r="20">
      <c r="A20" t="n">
        <v>19</v>
      </c>
      <c r="B20" t="inlineStr">
        <is>
          <t>OMP_Private/without_datarace/matrix2loops_-_main.ale</t>
        </is>
      </c>
      <c r="C20" t="n">
        <v>0.2139489647575843</v>
      </c>
      <c r="D20">
        <f>IF(A20&lt;=ROUNDUP(COUNTA($B$2:$B$97)*Método!$B$2,0),"SÍ","")</f>
        <v/>
      </c>
      <c r="E20" t="inlineStr"/>
      <c r="F20" t="inlineStr"/>
    </row>
    <row r="21">
      <c r="A21" t="n">
        <v>20</v>
      </c>
      <c r="B21" t="inlineStr">
        <is>
          <t>OMP_Private/without_datarace/array-negate-no.ale</t>
        </is>
      </c>
      <c r="C21" t="n">
        <v>0.2484758774422027</v>
      </c>
      <c r="D21">
        <f>IF(A21&lt;=ROUNDUP(COUNTA($B$2:$B$97)*Método!$B$2,0),"SÍ","")</f>
        <v/>
      </c>
      <c r="E21" t="inlineStr"/>
      <c r="F21" t="inlineStr"/>
    </row>
    <row r="22">
      <c r="A22" t="n">
        <v>21</v>
      </c>
      <c r="B22" t="inlineStr">
        <is>
          <t>POSIX_Lock_Primitives/without_datarace/counter-mutex2-no.ale</t>
        </is>
      </c>
      <c r="C22" t="n">
        <v>0.2678462816509695</v>
      </c>
      <c r="D22">
        <f>IF(A22&lt;=ROUNDUP(COUNTA($B$2:$B$97)*Método!$B$2,0),"SÍ","")</f>
        <v/>
      </c>
      <c r="E22" t="inlineStr"/>
      <c r="F22" t="inlineStr"/>
    </row>
    <row r="23">
      <c r="A23" t="n">
        <v>22</v>
      </c>
      <c r="B23" t="inlineStr">
        <is>
          <t>OMP_Critical/with_datarace/float-pi2-nolock-yes.ale</t>
        </is>
      </c>
      <c r="C23" t="n">
        <v>0.2685020045352282</v>
      </c>
      <c r="D23">
        <f>IF(A23&lt;=ROUNDUP(COUNTA($B$2:$B$97)*Método!$B$2,0),"SÍ","")</f>
        <v/>
      </c>
      <c r="E23" t="inlineStr"/>
      <c r="F23" t="inlineStr"/>
    </row>
    <row r="24">
      <c r="A24" t="n">
        <v>23</v>
      </c>
      <c r="B24" t="inlineStr">
        <is>
          <t>POSIX_Lock_Primitives/with_datarace/two-thread-flag-cond-no.ale</t>
        </is>
      </c>
      <c r="C24" t="n">
        <v>0.273622406146403</v>
      </c>
      <c r="D24">
        <f>IF(A24&lt;=ROUNDUP(COUNTA($B$2:$B$97)*Método!$B$2,0),"SÍ","")</f>
        <v/>
      </c>
      <c r="E24" t="inlineStr"/>
      <c r="F24" t="inlineStr"/>
    </row>
    <row r="25">
      <c r="A25" t="n">
        <v>24</v>
      </c>
      <c r="B25" t="inlineStr">
        <is>
          <t>POSIX_Lock_Primitives/without_datarace/global-sum-mutex-no.ale</t>
        </is>
      </c>
      <c r="C25" t="n">
        <v>0.2738618073801566</v>
      </c>
      <c r="D25">
        <f>IF(A25&lt;=ROUNDUP(COUNTA($B$2:$B$97)*Método!$B$2,0),"SÍ","")</f>
        <v/>
      </c>
      <c r="E25" t="inlineStr"/>
      <c r="F25" t="inlineStr"/>
    </row>
    <row r="26">
      <c r="A26" t="n">
        <v>25</v>
      </c>
      <c r="B26" t="inlineStr">
        <is>
          <t>OMP_Private/with_datarace/shared-tid-pfor-yes.ale</t>
        </is>
      </c>
      <c r="C26" t="n">
        <v>0.2747467062636061</v>
      </c>
      <c r="D26">
        <f>IF(A26&lt;=ROUNDUP(COUNTA($B$2:$B$97)*Método!$B$2,0),"SÍ","")</f>
        <v/>
      </c>
      <c r="E26" t="inlineStr"/>
      <c r="F26" t="inlineStr"/>
    </row>
    <row r="27">
      <c r="A27" t="n">
        <v>26</v>
      </c>
      <c r="B27" t="inlineStr">
        <is>
          <t>OMP_Private/with_datarace/shared-myid-yes.ale</t>
        </is>
      </c>
      <c r="C27" t="n">
        <v>0.3074052359536871</v>
      </c>
      <c r="D27">
        <f>IF(A27&lt;=ROUNDUP(COUNTA($B$2:$B$97)*Método!$B$2,0),"SÍ","")</f>
        <v/>
      </c>
      <c r="E27" t="inlineStr"/>
      <c r="F27" t="inlineStr"/>
    </row>
    <row r="28">
      <c r="A28" t="n">
        <v>27</v>
      </c>
      <c r="B28" t="inlineStr">
        <is>
          <t>OMP_Private/with_datarace/shared-x-yes.ale</t>
        </is>
      </c>
      <c r="C28" t="n">
        <v>0.3239368482568999</v>
      </c>
      <c r="D28">
        <f>IF(A28&lt;=ROUNDUP(COUNTA($B$2:$B$97)*Método!$B$2,0),"SÍ","")</f>
        <v/>
      </c>
      <c r="E28" t="inlineStr"/>
      <c r="F28" t="inlineStr"/>
    </row>
    <row r="29">
      <c r="A29" t="n">
        <v>28</v>
      </c>
      <c r="B29" t="inlineStr">
        <is>
          <t>POSIX_Lock_Primitives/without_datarace/lock-order-no.ale</t>
        </is>
      </c>
      <c r="C29" t="n">
        <v>0.3269658281136545</v>
      </c>
      <c r="D29">
        <f>IF(A29&lt;=ROUNDUP(COUNTA($B$2:$B$97)*Método!$B$2,0),"SÍ","")</f>
        <v/>
      </c>
      <c r="E29" t="inlineStr"/>
      <c r="F29" t="inlineStr"/>
    </row>
    <row r="30">
      <c r="A30" t="n">
        <v>29</v>
      </c>
      <c r="B30" t="inlineStr">
        <is>
          <t>OMP_Critical/with_datarace/kmeans-race-yes.ale</t>
        </is>
      </c>
      <c r="C30" t="n">
        <v>0.3386687290413173</v>
      </c>
      <c r="D30">
        <f>IF(A30&lt;=ROUNDUP(COUNTA($B$2:$B$97)*Método!$B$2,0),"SÍ","")</f>
        <v/>
      </c>
      <c r="E30" t="inlineStr"/>
      <c r="F30" t="inlineStr"/>
    </row>
    <row r="31">
      <c r="A31" t="n">
        <v>30</v>
      </c>
      <c r="B31" t="inlineStr">
        <is>
          <t>OMP_Critical/without_datarace/float-pi-cyclic-no.ale</t>
        </is>
      </c>
      <c r="C31" t="n">
        <v>0.3484667881456804</v>
      </c>
      <c r="D31">
        <f>IF(A31&lt;=ROUNDUP(COUNTA($B$2:$B$97)*Método!$B$2,0),"SÍ","")</f>
        <v/>
      </c>
      <c r="E31" t="inlineStr"/>
      <c r="F31" t="inlineStr"/>
    </row>
    <row r="32">
      <c r="A32" t="n">
        <v>31</v>
      </c>
      <c r="B32" t="inlineStr">
        <is>
          <t>OMP_Critical/with_datarace/for-sum-nolock-yes.ale</t>
        </is>
      </c>
      <c r="C32" t="n">
        <v>0.3605193295954014</v>
      </c>
      <c r="D32">
        <f>IF(A32&lt;=ROUNDUP(COUNTA($B$2:$B$97)*Método!$B$2,0),"SÍ","")</f>
        <v/>
      </c>
      <c r="E32" t="inlineStr"/>
      <c r="F32" t="inlineStr"/>
    </row>
    <row r="33">
      <c r="A33" t="n">
        <v>32</v>
      </c>
      <c r="B33" t="inlineStr">
        <is>
          <t>OMP_Critical/with_datarace/matrix-mul-k-race-yes.ale</t>
        </is>
      </c>
      <c r="C33" t="n">
        <v>0.3793002809068229</v>
      </c>
      <c r="D33">
        <f>IF(A33&lt;=ROUNDUP(COUNTA($B$2:$B$97)*Método!$B$2,0),"SÍ","")</f>
        <v/>
      </c>
      <c r="E33" t="inlineStr"/>
      <c r="F33" t="inlineStr"/>
    </row>
    <row r="34">
      <c r="A34" t="n">
        <v>33</v>
      </c>
      <c r="B34" t="inlineStr">
        <is>
          <t>POSIX_Lock_Primitives/without_datarace/array-sum-mutex-no.ale</t>
        </is>
      </c>
      <c r="C34" t="n">
        <v>0.3815255202237841</v>
      </c>
      <c r="D34">
        <f>IF(A34&lt;=ROUNDUP(COUNTA($B$2:$B$97)*Método!$B$2,0),"SÍ","")</f>
        <v/>
      </c>
      <c r="E34" t="inlineStr"/>
      <c r="F34" t="inlineStr"/>
    </row>
    <row r="35">
      <c r="A35" t="n">
        <v>34</v>
      </c>
      <c r="B35" t="inlineStr">
        <is>
          <t>OMP_Critical/without_datarace/global-max-mutex-no.ale</t>
        </is>
      </c>
      <c r="C35" t="n">
        <v>0.3824807806519249</v>
      </c>
      <c r="D35">
        <f>IF(A35&lt;=ROUNDUP(COUNTA($B$2:$B$97)*Método!$B$2,0),"SÍ","")</f>
        <v/>
      </c>
      <c r="E35" t="inlineStr"/>
      <c r="F35" t="inlineStr"/>
    </row>
    <row r="36">
      <c r="A36" t="n">
        <v>35</v>
      </c>
      <c r="B36" t="inlineStr">
        <is>
          <t>OMP_Critical/with_datarace/shared-increment-nolock-yes.ale</t>
        </is>
      </c>
      <c r="C36" t="n">
        <v>0.398512079196614</v>
      </c>
      <c r="D36">
        <f>IF(A36&lt;=ROUNDUP(COUNTA($B$2:$B$97)*Método!$B$2,0),"SÍ","")</f>
        <v/>
      </c>
      <c r="E36" t="inlineStr"/>
      <c r="F36" t="inlineStr"/>
    </row>
    <row r="37">
      <c r="A37" t="n">
        <v>36</v>
      </c>
      <c r="B37" t="inlineStr">
        <is>
          <t>OMP_Critical/without_datarace/parallel-increment-atomic-no.ale</t>
        </is>
      </c>
      <c r="C37" t="n">
        <v>0.4102241706149908</v>
      </c>
      <c r="D37">
        <f>IF(A37&lt;=ROUNDUP(COUNTA($B$2:$B$97)*Método!$B$2,0),"SÍ","")</f>
        <v/>
      </c>
      <c r="E37" t="inlineStr"/>
      <c r="F37" t="inlineStr"/>
    </row>
    <row r="38">
      <c r="A38" t="n">
        <v>37</v>
      </c>
      <c r="B38" t="inlineStr">
        <is>
          <t>POSIX_Lock_Primitives/with_datarace/count-threshold-cond-yes.ale</t>
        </is>
      </c>
      <c r="C38" t="n">
        <v>0.4118474911454847</v>
      </c>
      <c r="D38">
        <f>IF(A38&lt;=ROUNDUP(COUNTA($B$2:$B$97)*Método!$B$2,0),"SÍ","")</f>
        <v/>
      </c>
      <c r="E38" t="inlineStr"/>
      <c r="F38" t="inlineStr"/>
    </row>
    <row r="39">
      <c r="A39" t="n">
        <v>38</v>
      </c>
      <c r="B39" t="inlineStr">
        <is>
          <t>OMP_Critical/with_datarace/array-max-nolock2-yes.ale</t>
        </is>
      </c>
      <c r="C39" t="n">
        <v>0.414494191301141</v>
      </c>
      <c r="D39">
        <f>IF(A39&lt;=ROUNDUP(COUNTA($B$2:$B$97)*Método!$B$2,0),"SÍ","")</f>
        <v/>
      </c>
      <c r="E39" t="inlineStr"/>
      <c r="F39" t="inlineStr"/>
    </row>
    <row r="40">
      <c r="A40" t="n">
        <v>39</v>
      </c>
      <c r="B40" t="inlineStr">
        <is>
          <t>OMP_Private/without_datarace/digit-square-pow-no.ale</t>
        </is>
      </c>
      <c r="C40" t="n">
        <v>0.4213278936752657</v>
      </c>
      <c r="D40">
        <f>IF(A40&lt;=ROUNDUP(COUNTA($B$2:$B$97)*Método!$B$2,0),"SÍ","")</f>
        <v/>
      </c>
      <c r="E40" t="inlineStr"/>
      <c r="F40" t="inlineStr"/>
    </row>
    <row r="41">
      <c r="A41" t="n">
        <v>40</v>
      </c>
      <c r="B41" t="inlineStr">
        <is>
          <t>OMP_Critical/without_datarace/fibonacci-critical-no.ale</t>
        </is>
      </c>
      <c r="C41" t="n">
        <v>0.4219978542766379</v>
      </c>
      <c r="D41">
        <f>IF(A41&lt;=ROUNDUP(COUNTA($B$2:$B$97)*Método!$B$2,0),"SÍ","")</f>
        <v/>
      </c>
      <c r="E41" t="inlineStr"/>
      <c r="F41" t="inlineStr"/>
    </row>
    <row r="42">
      <c r="A42" t="n">
        <v>41</v>
      </c>
      <c r="B42" t="inlineStr">
        <is>
          <t>POSIX_Lock_Primitives/with_datarace/histogram-nolock-yes.ale</t>
        </is>
      </c>
      <c r="C42" t="n">
        <v>0.4487636400258449</v>
      </c>
      <c r="D42">
        <f>IF(A42&lt;=ROUNDUP(COUNTA($B$2:$B$97)*Método!$B$2,0),"SÍ","")</f>
        <v/>
      </c>
      <c r="E42" t="inlineStr"/>
      <c r="F42" t="inlineStr"/>
    </row>
    <row r="43">
      <c r="A43" t="n">
        <v>42</v>
      </c>
      <c r="B43" t="inlineStr">
        <is>
          <t>POSIX_Lock_Primitives/without_datarace/ping-pong-cond-no.ale</t>
        </is>
      </c>
      <c r="C43" t="n">
        <v>0.4528159640324374</v>
      </c>
      <c r="D43">
        <f>IF(A43&lt;=ROUNDUP(COUNTA($B$2:$B$97)*Método!$B$2,0),"SÍ","")</f>
        <v/>
      </c>
      <c r="E43" t="inlineStr"/>
      <c r="F43" t="inlineStr"/>
    </row>
    <row r="44">
      <c r="A44" t="n">
        <v>43</v>
      </c>
      <c r="B44" t="inlineStr">
        <is>
          <t>OMP_Critical/without_datarace/parallel-max-atomic-no.ale</t>
        </is>
      </c>
      <c r="C44" t="n">
        <v>0.4636352857064924</v>
      </c>
      <c r="D44">
        <f>IF(A44&lt;=ROUNDUP(COUNTA($B$2:$B$97)*Método!$B$2,0),"SÍ","")</f>
        <v/>
      </c>
      <c r="E44" t="inlineStr"/>
      <c r="F44" t="inlineStr"/>
    </row>
    <row r="45">
      <c r="A45" t="n">
        <v>44</v>
      </c>
      <c r="B45" t="inlineStr">
        <is>
          <t>OMP_Critical/with_datarace/matrix-sum-nolock-yes.ale</t>
        </is>
      </c>
      <c r="C45" t="n">
        <v>0.4682962355175981</v>
      </c>
      <c r="D45">
        <f>IF(A45&lt;=ROUNDUP(COUNTA($B$2:$B$97)*Método!$B$2,0),"SÍ","")</f>
        <v/>
      </c>
      <c r="E45" t="inlineStr"/>
      <c r="F45" t="inlineStr"/>
    </row>
    <row r="46">
      <c r="A46" t="n">
        <v>45</v>
      </c>
      <c r="B46" t="inlineStr">
        <is>
          <t>OMP_Critical/without_datarace/pi-integral-mutex-no.ale</t>
        </is>
      </c>
      <c r="C46" t="n">
        <v>0.4702529184552332</v>
      </c>
      <c r="D46">
        <f>IF(A46&lt;=ROUNDUP(COUNTA($B$2:$B$97)*Método!$B$2,0),"SÍ","")</f>
        <v/>
      </c>
      <c r="E46" t="inlineStr"/>
      <c r="F46" t="inlineStr"/>
    </row>
    <row r="47">
      <c r="A47" t="n">
        <v>46</v>
      </c>
      <c r="B47" t="inlineStr">
        <is>
          <t>OMP_Critical/with_datarace/shared-local-accumulate-yes.ale</t>
        </is>
      </c>
      <c r="C47" t="n">
        <v>0.4935559024443427</v>
      </c>
      <c r="D47">
        <f>IF(A47&lt;=ROUNDUP(COUNTA($B$2:$B$97)*Método!$B$2,0),"SÍ","")</f>
        <v/>
      </c>
      <c r="E47" t="inlineStr"/>
      <c r="F47" t="inlineStr"/>
    </row>
    <row r="48">
      <c r="A48" t="n">
        <v>47</v>
      </c>
      <c r="B48" t="inlineStr">
        <is>
          <t>POSIX_Lock_Primitives/without_datarace/lock-order-rand-no.ale</t>
        </is>
      </c>
      <c r="C48" t="n">
        <v>0.5483636413367882</v>
      </c>
      <c r="D48">
        <f>IF(A48&lt;=ROUNDUP(COUNTA($B$2:$B$97)*Método!$B$2,0),"SÍ","")</f>
        <v/>
      </c>
      <c r="E48" t="inlineStr"/>
      <c r="F48" t="inlineStr"/>
    </row>
    <row r="49">
      <c r="A49" t="n">
        <v>48</v>
      </c>
      <c r="B49" t="inlineStr">
        <is>
          <t>OMP_Critical/without_datarace/product-mutex-no.ale</t>
        </is>
      </c>
      <c r="C49" t="n">
        <v>0.5622501684836596</v>
      </c>
      <c r="D49">
        <f>IF(A49&lt;=ROUNDUP(COUNTA($B$2:$B$97)*Método!$B$2,0),"SÍ","")</f>
        <v/>
      </c>
      <c r="E49" t="inlineStr"/>
      <c r="F49" t="inlineStr"/>
    </row>
    <row r="50">
      <c r="A50" t="n">
        <v>49</v>
      </c>
      <c r="B50" t="inlineStr">
        <is>
          <t>OMP_Critical/with_datarace/sum-private-nolock-yes.ale</t>
        </is>
      </c>
      <c r="C50" t="n">
        <v>0.5766167118537507</v>
      </c>
      <c r="D50">
        <f>IF(A50&lt;=ROUNDUP(COUNTA($B$2:$B$97)*Método!$B$2,0),"SÍ","")</f>
        <v/>
      </c>
      <c r="E50" t="inlineStr"/>
      <c r="F50" t="inlineStr"/>
    </row>
    <row r="51">
      <c r="A51" t="n">
        <v>50</v>
      </c>
      <c r="B51" t="inlineStr">
        <is>
          <t>OMP_Critical/with_datarace/shared-threadnum-nolock-yes.ale</t>
        </is>
      </c>
      <c r="C51" t="n">
        <v>0.5777542453834358</v>
      </c>
      <c r="D51">
        <f>IF(A51&lt;=ROUNDUP(COUNTA($B$2:$B$97)*Método!$B$2,0),"SÍ","")</f>
        <v/>
      </c>
      <c r="E51" t="inlineStr"/>
      <c r="F51" t="inlineStr"/>
    </row>
    <row r="52">
      <c r="A52" t="n">
        <v>51</v>
      </c>
      <c r="B52" t="inlineStr">
        <is>
          <t>OMP_Private/with_datarace/matrix-add-shared-yes.ale</t>
        </is>
      </c>
      <c r="C52" t="n">
        <v>0.581790756676992</v>
      </c>
      <c r="D52">
        <f>IF(A52&lt;=ROUNDUP(COUNTA($B$2:$B$97)*Método!$B$2,0),"SÍ","")</f>
        <v/>
      </c>
      <c r="E52" t="inlineStr"/>
      <c r="F52" t="inlineStr"/>
    </row>
    <row r="53">
      <c r="A53" t="n">
        <v>52</v>
      </c>
      <c r="B53" t="inlineStr">
        <is>
          <t>POSIX_Lock_Primitives/with_datarace/counter-nolock-yes.ale</t>
        </is>
      </c>
      <c r="C53" t="n">
        <v>0.6024729268836131</v>
      </c>
      <c r="D53">
        <f>IF(A53&lt;=ROUNDUP(COUNTA($B$2:$B$97)*Método!$B$2,0),"SÍ","")</f>
        <v/>
      </c>
      <c r="E53" t="inlineStr"/>
      <c r="F53" t="inlineStr"/>
    </row>
    <row r="54">
      <c r="A54" t="n">
        <v>53</v>
      </c>
      <c r="B54" t="inlineStr">
        <is>
          <t>OMP_Critical/without_datarace/shared-local-accumulate-no.ale</t>
        </is>
      </c>
      <c r="C54" t="n">
        <v>0.6040234833607265</v>
      </c>
      <c r="D54">
        <f>IF(A54&lt;=ROUNDUP(COUNTA($B$2:$B$97)*Método!$B$2,0),"SÍ","")</f>
        <v/>
      </c>
      <c r="E54" t="inlineStr"/>
      <c r="F54" t="inlineStr"/>
    </row>
    <row r="55">
      <c r="A55" t="n">
        <v>54</v>
      </c>
      <c r="B55" t="inlineStr">
        <is>
          <t>OMP_Critical/with_datarace/hitung-nolock-yes.ale</t>
        </is>
      </c>
      <c r="C55" t="n">
        <v>0.651858269367057</v>
      </c>
      <c r="D55">
        <f>IF(A55&lt;=ROUNDUP(COUNTA($B$2:$B$97)*Método!$B$2,0),"SÍ","")</f>
        <v/>
      </c>
      <c r="E55" t="inlineStr"/>
      <c r="F55" t="inlineStr"/>
    </row>
    <row r="56">
      <c r="A56" t="n">
        <v>55</v>
      </c>
      <c r="B56" t="inlineStr">
        <is>
          <t>OMP_Critical/without_datarace/array-max-critical2-no.ale</t>
        </is>
      </c>
      <c r="C56" t="n">
        <v>0.6528454840298815</v>
      </c>
      <c r="D56">
        <f>IF(A56&lt;=ROUNDUP(COUNTA($B$2:$B$97)*Método!$B$2,0),"SÍ","")</f>
        <v/>
      </c>
      <c r="E56" t="inlineStr"/>
      <c r="F56" t="inlineStr"/>
    </row>
    <row r="57">
      <c r="A57" t="n">
        <v>56</v>
      </c>
      <c r="B57" t="inlineStr">
        <is>
          <t>OMP_Critical/with_datarace/fib-array-race-yes.ale</t>
        </is>
      </c>
      <c r="C57" t="n">
        <v>0.6756830788286138</v>
      </c>
      <c r="D57">
        <f>IF(A57&lt;=ROUNDUP(COUNTA($B$2:$B$97)*Método!$B$2,0),"SÍ","")</f>
        <v/>
      </c>
      <c r="E57" t="inlineStr"/>
      <c r="F57" t="inlineStr"/>
    </row>
    <row r="58">
      <c r="A58" t="n">
        <v>57</v>
      </c>
      <c r="B58" t="inlineStr">
        <is>
          <t>POSIX_Lock_Primitives/with_datarace/readwrite-cond-yes.ale</t>
        </is>
      </c>
      <c r="C58" t="n">
        <v>0.7011114905218196</v>
      </c>
      <c r="D58">
        <f>IF(A58&lt;=ROUNDUP(COUNTA($B$2:$B$97)*Método!$B$2,0),"SÍ","")</f>
        <v/>
      </c>
      <c r="E58" t="inlineStr"/>
      <c r="F58" t="inlineStr"/>
    </row>
    <row r="59">
      <c r="A59" t="n">
        <v>58</v>
      </c>
      <c r="B59" t="inlineStr">
        <is>
          <t>POSIX_Lock_Primitives/with_datarace/bucket-sum-mutex-no.ale</t>
        </is>
      </c>
      <c r="C59" t="n">
        <v>0.7153529261705337</v>
      </c>
      <c r="D59">
        <f>IF(A59&lt;=ROUNDUP(COUNTA($B$2:$B$97)*Método!$B$2,0),"SÍ","")</f>
        <v/>
      </c>
      <c r="E59" t="inlineStr"/>
      <c r="F59" t="inlineStr"/>
    </row>
    <row r="60">
      <c r="A60" t="n">
        <v>59</v>
      </c>
      <c r="B60" t="inlineStr">
        <is>
          <t>OMP_Private/without_datarace/18_for_wait_-_main.ale</t>
        </is>
      </c>
      <c r="C60" t="n">
        <v>0.7167746491019519</v>
      </c>
      <c r="D60">
        <f>IF(A60&lt;=ROUNDUP(COUNTA($B$2:$B$97)*Método!$B$2,0),"SÍ","")</f>
        <v/>
      </c>
      <c r="E60" t="inlineStr"/>
      <c r="F60" t="inlineStr"/>
    </row>
    <row r="61">
      <c r="A61" t="n">
        <v>60</v>
      </c>
      <c r="B61" t="inlineStr">
        <is>
          <t>OMP_Private/without_datarace/local-tmp-no.ale</t>
        </is>
      </c>
      <c r="C61" t="n">
        <v>0.7315477373216276</v>
      </c>
      <c r="D61">
        <f>IF(A61&lt;=ROUNDUP(COUNTA($B$2:$B$97)*Método!$B$2,0),"SÍ","")</f>
        <v/>
      </c>
      <c r="E61" t="inlineStr"/>
      <c r="F61" t="inlineStr"/>
    </row>
    <row r="62">
      <c r="A62" t="n">
        <v>61</v>
      </c>
      <c r="B62" t="inlineStr">
        <is>
          <t>POSIX_Lock_Primitives/without_datarace/scatter-add-mutex-no.ale</t>
        </is>
      </c>
      <c r="C62" t="n">
        <v>0.7399095874621417</v>
      </c>
      <c r="D62">
        <f>IF(A62&lt;=ROUNDUP(COUNTA($B$2:$B$97)*Método!$B$2,0),"SÍ","")</f>
        <v/>
      </c>
      <c r="E62" t="inlineStr"/>
      <c r="F62" t="inlineStr"/>
    </row>
    <row r="63">
      <c r="A63" t="n">
        <v>62</v>
      </c>
      <c r="B63" t="inlineStr">
        <is>
          <t>OMP_Private/without_datarace/array-fill-tid-no.ale</t>
        </is>
      </c>
      <c r="C63" t="n">
        <v>0.7470249631384362</v>
      </c>
      <c r="D63">
        <f>IF(A63&lt;=ROUNDUP(COUNTA($B$2:$B$97)*Método!$B$2,0),"SÍ","")</f>
        <v/>
      </c>
      <c r="E63" t="inlineStr"/>
      <c r="F63" t="inlineStr"/>
    </row>
    <row r="64">
      <c r="A64" t="n">
        <v>63</v>
      </c>
      <c r="B64" t="inlineStr">
        <is>
          <t>OMP_Critical/with_datarace/count-incdec-nolock-yes.ale</t>
        </is>
      </c>
      <c r="C64" t="n">
        <v>0.7473303338771861</v>
      </c>
      <c r="D64">
        <f>IF(A64&lt;=ROUNDUP(COUNTA($B$2:$B$97)*Método!$B$2,0),"SÍ","")</f>
        <v/>
      </c>
      <c r="E64" t="inlineStr"/>
      <c r="F64" t="inlineStr"/>
    </row>
    <row r="65">
      <c r="A65" t="n">
        <v>64</v>
      </c>
      <c r="B65" t="inlineStr">
        <is>
          <t>POSIX_Lock_Primitives/with_datarace/wait-all-cond-yes.ale</t>
        </is>
      </c>
      <c r="C65" t="n">
        <v>0.7540355605930306</v>
      </c>
      <c r="D65">
        <f>IF(A65&lt;=ROUNDUP(COUNTA($B$2:$B$97)*Método!$B$2,0),"SÍ","")</f>
        <v/>
      </c>
      <c r="E65" t="inlineStr"/>
      <c r="F65" t="inlineStr"/>
    </row>
    <row r="66">
      <c r="A66" t="n">
        <v>65</v>
      </c>
      <c r="B66" t="inlineStr">
        <is>
          <t>POSIX_Lock_Primitives/with_datarace/canibais-cond-yes.ale</t>
        </is>
      </c>
      <c r="C66" t="n">
        <v>0.7557035590690852</v>
      </c>
      <c r="D66">
        <f>IF(A66&lt;=ROUNDUP(COUNTA($B$2:$B$97)*Método!$B$2,0),"SÍ","")</f>
        <v/>
      </c>
      <c r="E66" t="inlineStr"/>
      <c r="F66" t="inlineStr"/>
    </row>
    <row r="67">
      <c r="A67" t="n">
        <v>66</v>
      </c>
      <c r="B67" t="inlineStr">
        <is>
          <t>OMP_Critical/with_datarace/array-total-nolock-yes.ale</t>
        </is>
      </c>
      <c r="C67" t="n">
        <v>0.7692959545451598</v>
      </c>
      <c r="D67">
        <f>IF(A67&lt;=ROUNDUP(COUNTA($B$2:$B$97)*Método!$B$2,0),"SÍ","")</f>
        <v/>
      </c>
      <c r="E67" t="inlineStr"/>
      <c r="F67" t="inlineStr"/>
    </row>
    <row r="68">
      <c r="A68" t="n">
        <v>67</v>
      </c>
      <c r="B68" t="inlineStr">
        <is>
          <t>POSIX_Lock_Primitives/without_datarace/counter-mutex4-no.ale</t>
        </is>
      </c>
      <c r="C68" t="n">
        <v>0.7744876927872147</v>
      </c>
      <c r="D68">
        <f>IF(A68&lt;=ROUNDUP(COUNTA($B$2:$B$97)*Método!$B$2,0),"SÍ","")</f>
        <v/>
      </c>
      <c r="E68" t="inlineStr"/>
      <c r="F68" t="inlineStr"/>
    </row>
    <row r="69">
      <c r="A69" t="n">
        <v>68</v>
      </c>
      <c r="B69" t="inlineStr">
        <is>
          <t>OMP_Critical/with_datarace/monte-carlo-nolock-yes.ale</t>
        </is>
      </c>
      <c r="C69" t="n">
        <v>0.7862058675822604</v>
      </c>
      <c r="D69">
        <f>IF(A69&lt;=ROUNDUP(COUNTA($B$2:$B$97)*Método!$B$2,0),"SÍ","")</f>
        <v/>
      </c>
      <c r="E69" t="inlineStr"/>
      <c r="F69" t="inlineStr"/>
    </row>
    <row r="70">
      <c r="A70" t="n">
        <v>69</v>
      </c>
      <c r="B70" t="inlineStr">
        <is>
          <t>OMP_Private/with_datarace/shared-x-pfor-yes.ale</t>
        </is>
      </c>
      <c r="C70" t="n">
        <v>0.786871966538238</v>
      </c>
      <c r="D70">
        <f>IF(A70&lt;=ROUNDUP(COUNTA($B$2:$B$97)*Método!$B$2,0),"SÍ","")</f>
        <v/>
      </c>
      <c r="E70" t="inlineStr"/>
      <c r="F70" t="inlineStr"/>
    </row>
    <row r="71">
      <c r="A71" t="n">
        <v>70</v>
      </c>
      <c r="B71" t="inlineStr">
        <is>
          <t>OMP_Critical/with_datarace/float-pi-worksharing-nolock-yes.ale</t>
        </is>
      </c>
      <c r="C71" t="n">
        <v>0.7897582963920071</v>
      </c>
      <c r="D71">
        <f>IF(A71&lt;=ROUNDUP(COUNTA($B$2:$B$97)*Método!$B$2,0),"SÍ","")</f>
        <v/>
      </c>
      <c r="E71" t="inlineStr"/>
      <c r="F71" t="inlineStr"/>
    </row>
    <row r="72">
      <c r="A72" t="n">
        <v>71</v>
      </c>
      <c r="B72" t="inlineStr">
        <is>
          <t>POSIX_Lock_Primitives/without_datarace/counter-mutex3-no.ale</t>
        </is>
      </c>
      <c r="C72" t="n">
        <v>0.7902433988323724</v>
      </c>
      <c r="D72">
        <f>IF(A72&lt;=ROUNDUP(COUNTA($B$2:$B$97)*Método!$B$2,0),"SÍ","")</f>
        <v/>
      </c>
      <c r="E72" t="inlineStr"/>
      <c r="F72" t="inlineStr"/>
    </row>
    <row r="73">
      <c r="A73" t="n">
        <v>72</v>
      </c>
      <c r="B73" t="inlineStr">
        <is>
          <t>OMP_Critical/with_datarace/parallel-max-nolock-yes.ale</t>
        </is>
      </c>
      <c r="C73" t="n">
        <v>0.7977598399774517</v>
      </c>
      <c r="D73">
        <f>IF(A73&lt;=ROUNDUP(COUNTA($B$2:$B$97)*Método!$B$2,0),"SÍ","")</f>
        <v/>
      </c>
      <c r="E73" t="inlineStr"/>
      <c r="F73" t="inlineStr"/>
    </row>
    <row r="74">
      <c r="A74" t="n">
        <v>73</v>
      </c>
      <c r="B74" t="inlineStr">
        <is>
          <t>POSIX_Lock_Primitives/with_datarace/global-sum-nolock-yes.ale</t>
        </is>
      </c>
      <c r="C74" t="n">
        <v>0.8009061409267175</v>
      </c>
      <c r="D74">
        <f>IF(A74&lt;=ROUNDUP(COUNTA($B$2:$B$97)*Método!$B$2,0),"SÍ","")</f>
        <v/>
      </c>
      <c r="E74" t="inlineStr"/>
      <c r="F74" t="inlineStr"/>
    </row>
    <row r="75">
      <c r="A75" t="n">
        <v>74</v>
      </c>
      <c r="B75" t="inlineStr">
        <is>
          <t>POSIX_Lock_Primitives/without_datarace/flag-signal-cond-yes.ale</t>
        </is>
      </c>
      <c r="C75" t="n">
        <v>0.8010614945038793</v>
      </c>
      <c r="D75">
        <f>IF(A75&lt;=ROUNDUP(COUNTA($B$2:$B$97)*Método!$B$2,0),"SÍ","")</f>
        <v/>
      </c>
      <c r="E75" t="inlineStr"/>
      <c r="F75" t="inlineStr"/>
    </row>
    <row r="76">
      <c r="A76" t="n">
        <v>75</v>
      </c>
      <c r="B76" t="inlineStr">
        <is>
          <t>OMP_Private/with_datarace/shared-tmp-yes.ale</t>
        </is>
      </c>
      <c r="C76" t="n">
        <v>0.8060049041289192</v>
      </c>
      <c r="D76">
        <f>IF(A76&lt;=ROUNDUP(COUNTA($B$2:$B$97)*Método!$B$2,0),"SÍ","")</f>
        <v/>
      </c>
      <c r="E76" t="inlineStr"/>
      <c r="F76" t="inlineStr"/>
    </row>
    <row r="77">
      <c r="A77" t="n">
        <v>76</v>
      </c>
      <c r="B77" t="inlineStr">
        <is>
          <t>OMP_Private/without_datarace/local-vars-no.ale</t>
        </is>
      </c>
      <c r="C77" t="n">
        <v>0.8328796546150699</v>
      </c>
      <c r="D77">
        <f>IF(A77&lt;=ROUNDUP(COUNTA($B$2:$B$97)*Método!$B$2,0),"SÍ","")</f>
        <v/>
      </c>
      <c r="E77" t="inlineStr"/>
      <c r="F77" t="inlineStr"/>
    </row>
    <row r="78">
      <c r="A78" t="n">
        <v>77</v>
      </c>
      <c r="B78" t="inlineStr">
        <is>
          <t>OMP_Critical/without_datarace/float-pi-inline-no.ale</t>
        </is>
      </c>
      <c r="C78" t="n">
        <v>0.8519751650786116</v>
      </c>
      <c r="D78">
        <f>IF(A78&lt;=ROUNDUP(COUNTA($B$2:$B$97)*Método!$B$2,0),"SÍ","")</f>
        <v/>
      </c>
      <c r="E78" t="inlineStr"/>
      <c r="F78" t="inlineStr"/>
    </row>
    <row r="79">
      <c r="A79" t="n">
        <v>78</v>
      </c>
      <c r="B79" t="inlineStr">
        <is>
          <t>OMP_Private/without_datarace/two-pfor-fill-no.ale</t>
        </is>
      </c>
      <c r="C79" t="n">
        <v>0.8639432692607455</v>
      </c>
      <c r="D79">
        <f>IF(A79&lt;=ROUNDUP(COUNTA($B$2:$B$97)*Método!$B$2,0),"SÍ","")</f>
        <v/>
      </c>
      <c r="E79" t="inlineStr"/>
      <c r="F79" t="inlineStr"/>
    </row>
    <row r="80">
      <c r="A80" t="n">
        <v>79</v>
      </c>
      <c r="B80" t="inlineStr">
        <is>
          <t>OMP_Private/without_datarace/local-myid-no.ale</t>
        </is>
      </c>
      <c r="C80" t="n">
        <v>0.8682203570989597</v>
      </c>
      <c r="D80">
        <f>IF(A80&lt;=ROUNDUP(COUNTA($B$2:$B$97)*Método!$B$2,0),"SÍ","")</f>
        <v/>
      </c>
      <c r="E80" t="inlineStr"/>
      <c r="F80" t="inlineStr"/>
    </row>
    <row r="81">
      <c r="A81" t="n">
        <v>80</v>
      </c>
      <c r="B81" t="inlineStr">
        <is>
          <t>POSIX_Lock_Primitives/with_datarace/unisex-bathroom-cond-yes.ale</t>
        </is>
      </c>
      <c r="C81" t="n">
        <v>0.888670686836763</v>
      </c>
      <c r="D81">
        <f>IF(A81&lt;=ROUNDUP(COUNTA($B$2:$B$97)*Método!$B$2,0),"SÍ","")</f>
        <v/>
      </c>
      <c r="E81" t="inlineStr"/>
      <c r="F81" t="inlineStr"/>
    </row>
    <row r="82">
      <c r="A82" t="n">
        <v>81</v>
      </c>
      <c r="B82" t="inlineStr">
        <is>
          <t>POSIX_Lock_Primitives/without_datarace/count-threshold-cond-no.ale</t>
        </is>
      </c>
      <c r="C82" t="n">
        <v>0.8921138583088469</v>
      </c>
      <c r="D82">
        <f>IF(A82&lt;=ROUNDUP(COUNTA($B$2:$B$97)*Método!$B$2,0),"SÍ","")</f>
        <v/>
      </c>
      <c r="E82" t="inlineStr"/>
      <c r="F82" t="inlineStr"/>
    </row>
    <row r="83">
      <c r="A83" t="n">
        <v>82</v>
      </c>
      <c r="B83" t="inlineStr">
        <is>
          <t>POSIX_Lock_Primitives/without_datarace/count-threshold-4t-cond-no.ale</t>
        </is>
      </c>
      <c r="C83" t="n">
        <v>0.9011382554763019</v>
      </c>
      <c r="D83">
        <f>IF(A83&lt;=ROUNDUP(COUNTA($B$2:$B$97)*Método!$B$2,0),"SÍ","")</f>
        <v/>
      </c>
      <c r="E83" t="inlineStr"/>
      <c r="F83" t="inlineStr"/>
    </row>
    <row r="84">
      <c r="A84" t="n">
        <v>83</v>
      </c>
      <c r="B84" t="inlineStr">
        <is>
          <t>OMP_Critical/without_datarace/float-pi-partial-no.ale</t>
        </is>
      </c>
      <c r="C84" t="n">
        <v>0.909952184486626</v>
      </c>
      <c r="D84">
        <f>IF(A84&lt;=ROUNDUP(COUNTA($B$2:$B$97)*Método!$B$2,0),"SÍ","")</f>
        <v/>
      </c>
      <c r="E84" t="inlineStr"/>
      <c r="F84" t="inlineStr"/>
    </row>
    <row r="85">
      <c r="A85" t="n">
        <v>84</v>
      </c>
      <c r="B85" t="inlineStr">
        <is>
          <t>OMP_Private/without_datarace/barrier-y-z-no.ale</t>
        </is>
      </c>
      <c r="C85" t="n">
        <v>0.9122629216921636</v>
      </c>
      <c r="D85">
        <f>IF(A85&lt;=ROUNDUP(COUNTA($B$2:$B$97)*Método!$B$2,0),"SÍ","")</f>
        <v/>
      </c>
      <c r="E85" t="inlineStr"/>
      <c r="F85" t="inlineStr"/>
    </row>
    <row r="86">
      <c r="A86" t="n">
        <v>85</v>
      </c>
      <c r="B86" t="inlineStr">
        <is>
          <t>POSIX_Lock_Primitives/with_datarace/ticket-counter-no.ale</t>
        </is>
      </c>
      <c r="C86" t="n">
        <v>0.9145978827524205</v>
      </c>
      <c r="D86">
        <f>IF(A86&lt;=ROUNDUP(COUNTA($B$2:$B$97)*Método!$B$2,0),"SÍ","")</f>
        <v/>
      </c>
      <c r="E86" t="inlineStr"/>
      <c r="F86" t="inlineStr"/>
    </row>
    <row r="87">
      <c r="A87" t="n">
        <v>86</v>
      </c>
      <c r="B87" t="inlineStr">
        <is>
          <t>POSIX_Lock_Primitives/without_datarace/bounded-buffer-cond-no.ale</t>
        </is>
      </c>
      <c r="C87" t="n">
        <v>0.9248453410754476</v>
      </c>
      <c r="D87">
        <f>IF(A87&lt;=ROUNDUP(COUNTA($B$2:$B$97)*Método!$B$2,0),"SÍ","")</f>
        <v/>
      </c>
      <c r="E87" t="inlineStr"/>
      <c r="F87" t="inlineStr"/>
    </row>
    <row r="88">
      <c r="A88" t="n">
        <v>87</v>
      </c>
      <c r="B88" t="inlineStr">
        <is>
          <t>OMP_Critical/with_datarace/shared-i-nolock-yes.ale</t>
        </is>
      </c>
      <c r="C88" t="n">
        <v>0.9299984438056127</v>
      </c>
      <c r="D88">
        <f>IF(A88&lt;=ROUNDUP(COUNTA($B$2:$B$97)*Método!$B$2,0),"SÍ","")</f>
        <v/>
      </c>
      <c r="E88" t="inlineStr"/>
      <c r="F88" t="inlineStr"/>
    </row>
    <row r="89">
      <c r="A89" t="n">
        <v>88</v>
      </c>
      <c r="B89" t="inlineStr">
        <is>
          <t>OMP_Critical/with_datarace/firstprivate-sum-nolock-yes.ale</t>
        </is>
      </c>
      <c r="C89" t="n">
        <v>0.9443809846967658</v>
      </c>
      <c r="D89">
        <f>IF(A89&lt;=ROUNDUP(COUNTA($B$2:$B$97)*Método!$B$2,0),"SÍ","")</f>
        <v/>
      </c>
      <c r="E89" t="inlineStr"/>
      <c r="F89" t="inlineStr"/>
    </row>
    <row r="90">
      <c r="A90" t="n">
        <v>89</v>
      </c>
      <c r="B90" t="inlineStr">
        <is>
          <t>OMP_Critical/without_datarace/float-pi-syncintegrate-no.ale</t>
        </is>
      </c>
      <c r="C90" t="n">
        <v>0.9498887208927308</v>
      </c>
      <c r="D90">
        <f>IF(A90&lt;=ROUNDUP(COUNTA($B$2:$B$97)*Método!$B$2,0),"SÍ","")</f>
        <v/>
      </c>
      <c r="E90" t="inlineStr"/>
      <c r="F90" t="inlineStr"/>
    </row>
    <row r="91">
      <c r="A91" t="n">
        <v>90</v>
      </c>
      <c r="B91" t="inlineStr">
        <is>
          <t>POSIX_Lock_Primitives/with_datarace/histogram-rand-no.ale</t>
        </is>
      </c>
      <c r="C91" t="n">
        <v>0.952141752015095</v>
      </c>
      <c r="D91">
        <f>IF(A91&lt;=ROUNDUP(COUNTA($B$2:$B$97)*Método!$B$2,0),"SÍ","")</f>
        <v/>
      </c>
      <c r="E91" t="inlineStr"/>
      <c r="F91" t="inlineStr"/>
    </row>
    <row r="92">
      <c r="A92" t="n">
        <v>91</v>
      </c>
      <c r="B92" t="inlineStr">
        <is>
          <t>OMP_Private/with_datarace/float-pi-noreduction-yes.ale</t>
        </is>
      </c>
      <c r="C92" t="n">
        <v>0.9678088261115607</v>
      </c>
      <c r="D92">
        <f>IF(A92&lt;=ROUNDUP(COUNTA($B$2:$B$97)*Método!$B$2,0),"SÍ","")</f>
        <v/>
      </c>
      <c r="E92" t="inlineStr"/>
      <c r="F92" t="inlineStr"/>
    </row>
    <row r="93">
      <c r="A93" t="n">
        <v>92</v>
      </c>
      <c r="B93" t="inlineStr">
        <is>
          <t>OMP_Private/without_datarace/local-max-per-thread-no.ale</t>
        </is>
      </c>
      <c r="C93" t="n">
        <v>0.9780050790238082</v>
      </c>
      <c r="D93">
        <f>IF(A93&lt;=ROUNDUP(COUNTA($B$2:$B$97)*Método!$B$2,0),"SÍ","")</f>
        <v/>
      </c>
      <c r="E93" t="inlineStr"/>
      <c r="F93" t="inlineStr"/>
    </row>
    <row r="94">
      <c r="A94" t="n">
        <v>93</v>
      </c>
      <c r="B94" t="inlineStr">
        <is>
          <t>OMP_Critical/without_datarace/determinant-no.ale</t>
        </is>
      </c>
      <c r="C94" t="n">
        <v>0.9852765751932447</v>
      </c>
      <c r="D94">
        <f>IF(A94&lt;=ROUNDUP(COUNTA($B$2:$B$97)*Método!$B$2,0),"SÍ","")</f>
        <v/>
      </c>
      <c r="E94" t="inlineStr"/>
      <c r="F94" t="inlineStr"/>
    </row>
    <row r="95">
      <c r="A95" t="n">
        <v>94</v>
      </c>
      <c r="B95" t="inlineStr">
        <is>
          <t>OMP_Critical/without_datarace/combined-array-count-no.ale</t>
        </is>
      </c>
      <c r="C95" t="n">
        <v>0.9853478305652631</v>
      </c>
      <c r="D95">
        <f>IF(A95&lt;=ROUNDUP(COUNTA($B$2:$B$97)*Método!$B$2,0),"SÍ","")</f>
        <v/>
      </c>
      <c r="E95" t="inlineStr"/>
      <c r="F95" t="inlineStr"/>
    </row>
    <row r="96">
      <c r="A96" t="n">
        <v>95</v>
      </c>
      <c r="B96" t="inlineStr">
        <is>
          <t>OMP_Private/with_datarace/shared-x-nolock2-yes.ale</t>
        </is>
      </c>
      <c r="C96" t="n">
        <v>0.9857848540940408</v>
      </c>
      <c r="D96">
        <f>IF(A96&lt;=ROUNDUP(COUNTA($B$2:$B$97)*Método!$B$2,0),"SÍ","")</f>
        <v/>
      </c>
      <c r="E96" t="inlineStr"/>
      <c r="F96" t="inlineStr"/>
    </row>
    <row r="97">
      <c r="A97" t="n">
        <v>96</v>
      </c>
      <c r="B97" t="inlineStr">
        <is>
          <t>OMP_Private/without_datarace/array-add-pfor-no.ale</t>
        </is>
      </c>
      <c r="C97" t="n">
        <v>0.998648584482375</v>
      </c>
      <c r="D97">
        <f>IF(A97&lt;=ROUNDUP(COUNTA($B$2:$B$97)*Método!$B$2,0),"SÍ","")</f>
        <v/>
      </c>
      <c r="E97" t="inlineStr"/>
      <c r="F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8" customWidth="1" min="3" max="3"/>
    <col width="10" customWidth="1" min="4" max="4"/>
    <col width="10" customWidth="1" min="5" max="5"/>
    <col width="40" customWidth="1" min="6" max="6"/>
  </cols>
  <sheetData>
    <row r="1">
      <c r="A1" s="1" t="inlineStr">
        <is>
          <t>Posición</t>
        </is>
      </c>
      <c r="B1" s="1" t="inlineStr">
        <is>
          <t>Ejercicio</t>
        </is>
      </c>
      <c r="C1" s="1" t="inlineStr">
        <is>
          <t>Aleatorio [0,1)</t>
        </is>
      </c>
      <c r="D1" s="1" t="inlineStr">
        <is>
          <t>Revisar</t>
        </is>
      </c>
      <c r="E1" s="1" t="inlineStr">
        <is>
          <t>Revisado</t>
        </is>
      </c>
      <c r="F1" s="1" t="inlineStr">
        <is>
          <t>Notas</t>
        </is>
      </c>
    </row>
    <row r="2">
      <c r="A2" s="3" t="n">
        <v>1</v>
      </c>
      <c r="B2" s="3" t="inlineStr">
        <is>
          <t>din_phil6_unsat-no.ale</t>
        </is>
      </c>
      <c r="C2" s="3" t="n">
        <v>0.001108129525760115</v>
      </c>
      <c r="D2" s="3">
        <f>IF(A2&lt;=ROUNDUP(COUNTA($B$2:$B$49)*Método!$B$2,0),"SÍ","")</f>
        <v/>
      </c>
      <c r="E2" s="3" t="inlineStr"/>
      <c r="F2" s="3" t="inlineStr"/>
    </row>
    <row r="3">
      <c r="A3" s="3" t="n">
        <v>2</v>
      </c>
      <c r="B3" s="3" t="inlineStr">
        <is>
          <t>wronglock-yes.ale</t>
        </is>
      </c>
      <c r="C3" s="3" t="n">
        <v>0.02291915525934307</v>
      </c>
      <c r="D3" s="3">
        <f>IF(A3&lt;=ROUNDUP(COUNTA($B$2:$B$49)*Método!$B$2,0),"SÍ","")</f>
        <v/>
      </c>
      <c r="E3" s="3" t="inlineStr"/>
      <c r="F3" s="3" t="inlineStr"/>
    </row>
    <row r="4">
      <c r="A4" s="3" t="n">
        <v>3</v>
      </c>
      <c r="B4" s="3" t="inlineStr">
        <is>
          <t>din_phil3_sat-yes.ale</t>
        </is>
      </c>
      <c r="C4" s="3" t="n">
        <v>0.05153849230653051</v>
      </c>
      <c r="D4" s="3">
        <f>IF(A4&lt;=ROUNDUP(COUNTA($B$2:$B$49)*Método!$B$2,0),"SÍ","")</f>
        <v/>
      </c>
      <c r="E4" s="3" t="inlineStr"/>
      <c r="F4" s="3" t="inlineStr"/>
    </row>
    <row r="5">
      <c r="A5" t="n">
        <v>4</v>
      </c>
      <c r="B5" t="inlineStr">
        <is>
          <t>micro_unprotected_2-yes.ale</t>
        </is>
      </c>
      <c r="C5" t="n">
        <v>0.05218861297369026</v>
      </c>
      <c r="D5">
        <f>IF(A5&lt;=ROUNDUP(COUNTA($B$2:$B$49)*Método!$B$2,0),"SÍ","")</f>
        <v/>
      </c>
      <c r="E5" t="inlineStr"/>
      <c r="F5" t="inlineStr"/>
    </row>
    <row r="6">
      <c r="A6" t="n">
        <v>5</v>
      </c>
      <c r="B6" t="inlineStr">
        <is>
          <t>deadlock01_bad-no.ale</t>
        </is>
      </c>
      <c r="C6" t="n">
        <v>0.1032756018753149</v>
      </c>
      <c r="D6">
        <f>IF(A6&lt;=ROUNDUP(COUNTA($B$2:$B$49)*Método!$B$2,0),"SÍ","")</f>
        <v/>
      </c>
      <c r="E6" t="inlineStr"/>
      <c r="F6" t="inlineStr"/>
    </row>
    <row r="7">
      <c r="A7" t="n">
        <v>6</v>
      </c>
      <c r="B7" t="inlineStr">
        <is>
          <t>reorder_5-yes.ale</t>
        </is>
      </c>
      <c r="C7" t="n">
        <v>0.1228748262397154</v>
      </c>
      <c r="D7">
        <f>IF(A7&lt;=ROUNDUP(COUNTA($B$2:$B$49)*Método!$B$2,0),"SÍ","")</f>
        <v/>
      </c>
      <c r="E7" t="inlineStr"/>
      <c r="F7" t="inlineStr"/>
    </row>
    <row r="8">
      <c r="A8" t="n">
        <v>7</v>
      </c>
      <c r="B8" t="inlineStr">
        <is>
          <t>dpor_example1-no.ale</t>
        </is>
      </c>
      <c r="C8" t="n">
        <v>0.1268712706437163</v>
      </c>
      <c r="D8">
        <f>IF(A8&lt;=ROUNDUP(COUNTA($B$2:$B$49)*Método!$B$2,0),"SÍ","")</f>
        <v/>
      </c>
      <c r="E8" t="inlineStr"/>
      <c r="F8" t="inlineStr"/>
    </row>
    <row r="9">
      <c r="A9" t="n">
        <v>8</v>
      </c>
      <c r="B9" t="inlineStr">
        <is>
          <t>phase01_bad-no.ale</t>
        </is>
      </c>
      <c r="C9" t="n">
        <v>0.1325854973202829</v>
      </c>
      <c r="D9">
        <f>IF(A9&lt;=ROUNDUP(COUNTA($B$2:$B$49)*Método!$B$2,0),"SÍ","")</f>
        <v/>
      </c>
      <c r="E9" t="inlineStr"/>
      <c r="F9" t="inlineStr"/>
    </row>
    <row r="10">
      <c r="A10" t="n">
        <v>9</v>
      </c>
      <c r="B10" t="inlineStr">
        <is>
          <t>circular-buffer-flag-no.ale</t>
        </is>
      </c>
      <c r="C10" t="n">
        <v>0.1729667847883615</v>
      </c>
      <c r="D10">
        <f>IF(A10&lt;=ROUNDUP(COUNTA($B$2:$B$49)*Método!$B$2,0),"SÍ","")</f>
        <v/>
      </c>
      <c r="E10" t="inlineStr"/>
      <c r="F10" t="inlineStr"/>
    </row>
    <row r="11">
      <c r="A11" t="n">
        <v>10</v>
      </c>
      <c r="B11" t="inlineStr">
        <is>
          <t>din_phil2_sat-yes.ale</t>
        </is>
      </c>
      <c r="C11" t="n">
        <v>0.1963008107581047</v>
      </c>
      <c r="D11">
        <f>IF(A11&lt;=ROUNDUP(COUNTA($B$2:$B$49)*Método!$B$2,0),"SÍ","")</f>
        <v/>
      </c>
      <c r="E11" t="inlineStr"/>
      <c r="F11" t="inlineStr"/>
    </row>
    <row r="12">
      <c r="A12" t="n">
        <v>11</v>
      </c>
      <c r="B12" t="inlineStr">
        <is>
          <t>token_ring_bad-no.ale</t>
        </is>
      </c>
      <c r="C12" t="n">
        <v>0.1987330808099363</v>
      </c>
      <c r="D12">
        <f>IF(A12&lt;=ROUNDUP(COUNTA($B$2:$B$49)*Método!$B$2,0),"SÍ","")</f>
        <v/>
      </c>
      <c r="E12" t="inlineStr"/>
      <c r="F12" t="inlineStr"/>
    </row>
    <row r="13">
      <c r="A13" t="n">
        <v>12</v>
      </c>
      <c r="B13" t="inlineStr">
        <is>
          <t>reorder_10-yes.ale</t>
        </is>
      </c>
      <c r="C13" t="n">
        <v>0.2063927762444622</v>
      </c>
      <c r="D13">
        <f>IF(A13&lt;=ROUNDUP(COUNTA($B$2:$B$49)*Método!$B$2,0),"SÍ","")</f>
        <v/>
      </c>
      <c r="E13" t="inlineStr"/>
      <c r="F13" t="inlineStr"/>
    </row>
    <row r="14">
      <c r="A14" t="n">
        <v>13</v>
      </c>
      <c r="B14" t="inlineStr">
        <is>
          <t>din_phil2_unsat-no.ale</t>
        </is>
      </c>
      <c r="C14" t="n">
        <v>0.2152404233646847</v>
      </c>
      <c r="D14">
        <f>IF(A14&lt;=ROUNDUP(COUNTA($B$2:$B$49)*Método!$B$2,0),"SÍ","")</f>
        <v/>
      </c>
      <c r="E14" t="inlineStr"/>
      <c r="F14" t="inlineStr"/>
    </row>
    <row r="15">
      <c r="A15" t="n">
        <v>14</v>
      </c>
      <c r="B15" t="inlineStr">
        <is>
          <t>reorder_20-yes.ale</t>
        </is>
      </c>
      <c r="C15" t="n">
        <v>0.2369941777867023</v>
      </c>
      <c r="D15">
        <f>IF(A15&lt;=ROUNDUP(COUNTA($B$2:$B$49)*Método!$B$2,0),"SÍ","")</f>
        <v/>
      </c>
      <c r="E15" t="inlineStr"/>
      <c r="F15" t="inlineStr"/>
    </row>
    <row r="16">
      <c r="A16" t="n">
        <v>15</v>
      </c>
      <c r="B16" t="inlineStr">
        <is>
          <t>sync01_inspect-no.ale</t>
        </is>
      </c>
      <c r="C16" t="n">
        <v>0.2671907742641273</v>
      </c>
      <c r="D16">
        <f>IF(A16&lt;=ROUNDUP(COUNTA($B$2:$B$49)*Método!$B$2,0),"SÍ","")</f>
        <v/>
      </c>
      <c r="E16" t="inlineStr"/>
      <c r="F16" t="inlineStr"/>
    </row>
    <row r="17">
      <c r="A17" t="n">
        <v>16</v>
      </c>
      <c r="B17" t="inlineStr">
        <is>
          <t>account-no.ale</t>
        </is>
      </c>
      <c r="C17" t="n">
        <v>0.2981617104015647</v>
      </c>
      <c r="D17">
        <f>IF(A17&lt;=ROUNDUP(COUNTA($B$2:$B$49)*Método!$B$2,0),"SÍ","")</f>
        <v/>
      </c>
      <c r="E17" t="inlineStr"/>
      <c r="F17" t="inlineStr"/>
    </row>
    <row r="18">
      <c r="A18" t="n">
        <v>17</v>
      </c>
      <c r="B18" t="inlineStr">
        <is>
          <t>race01-yes.ale</t>
        </is>
      </c>
      <c r="C18" t="n">
        <v>0.3268703822496389</v>
      </c>
      <c r="D18">
        <f>IF(A18&lt;=ROUNDUP(COUNTA($B$2:$B$49)*Método!$B$2,0),"SÍ","")</f>
        <v/>
      </c>
      <c r="E18" t="inlineStr"/>
      <c r="F18" t="inlineStr"/>
    </row>
    <row r="19">
      <c r="A19" t="n">
        <v>18</v>
      </c>
      <c r="B19" t="inlineStr">
        <is>
          <t>stateful01-no.ale</t>
        </is>
      </c>
      <c r="C19" t="n">
        <v>0.3352868194204449</v>
      </c>
      <c r="D19">
        <f>IF(A19&lt;=ROUNDUP(COUNTA($B$2:$B$49)*Método!$B$2,0),"SÍ","")</f>
        <v/>
      </c>
      <c r="E19" t="inlineStr"/>
      <c r="F19" t="inlineStr"/>
    </row>
    <row r="20">
      <c r="A20" t="n">
        <v>19</v>
      </c>
      <c r="B20" t="inlineStr">
        <is>
          <t>din_phil4_unsat-no.ale</t>
        </is>
      </c>
      <c r="C20" t="n">
        <v>0.3531488630883373</v>
      </c>
      <c r="D20">
        <f>IF(A20&lt;=ROUNDUP(COUNTA($B$2:$B$49)*Método!$B$2,0),"SÍ","")</f>
        <v/>
      </c>
      <c r="E20" t="inlineStr"/>
      <c r="F20" t="inlineStr"/>
    </row>
    <row r="21">
      <c r="A21" t="n">
        <v>20</v>
      </c>
      <c r="B21" t="inlineStr">
        <is>
          <t>din_phil7_sat-yes.ale</t>
        </is>
      </c>
      <c r="C21" t="n">
        <v>0.3677175148510281</v>
      </c>
      <c r="D21">
        <f>IF(A21&lt;=ROUNDUP(COUNTA($B$2:$B$49)*Método!$B$2,0),"SÍ","")</f>
        <v/>
      </c>
      <c r="E21" t="inlineStr"/>
      <c r="F21" t="inlineStr"/>
    </row>
    <row r="22">
      <c r="A22" t="n">
        <v>21</v>
      </c>
      <c r="B22" t="inlineStr">
        <is>
          <t>phase01-no.ale</t>
        </is>
      </c>
      <c r="C22" t="n">
        <v>0.4115259156967046</v>
      </c>
      <c r="D22">
        <f>IF(A22&lt;=ROUNDUP(COUNTA($B$2:$B$49)*Método!$B$2,0),"SÍ","")</f>
        <v/>
      </c>
      <c r="E22" t="inlineStr"/>
      <c r="F22" t="inlineStr"/>
    </row>
    <row r="23">
      <c r="A23" t="n">
        <v>22</v>
      </c>
      <c r="B23" t="inlineStr">
        <is>
          <t>queue-flag-no.ale</t>
        </is>
      </c>
      <c r="C23" t="n">
        <v>0.4451473103115372</v>
      </c>
      <c r="D23">
        <f>IF(A23&lt;=ROUNDUP(COUNTA($B$2:$B$49)*Método!$B$2,0),"SÍ","")</f>
        <v/>
      </c>
      <c r="E23" t="inlineStr"/>
      <c r="F23" t="inlineStr"/>
    </row>
    <row r="24">
      <c r="A24" t="n">
        <v>23</v>
      </c>
      <c r="B24" t="inlineStr">
        <is>
          <t>din_phil7_unsat-no.ale</t>
        </is>
      </c>
      <c r="C24" t="n">
        <v>0.5027885346702952</v>
      </c>
      <c r="D24">
        <f>IF(A24&lt;=ROUNDUP(COUNTA($B$2:$B$49)*Método!$B$2,0),"SÍ","")</f>
        <v/>
      </c>
      <c r="E24" t="inlineStr"/>
      <c r="F24" t="inlineStr"/>
    </row>
    <row r="25">
      <c r="A25" t="n">
        <v>24</v>
      </c>
      <c r="B25" t="inlineStr">
        <is>
          <t>twostage-no.ale</t>
        </is>
      </c>
      <c r="C25" t="n">
        <v>0.5049418349997602</v>
      </c>
      <c r="D25">
        <f>IF(A25&lt;=ROUNDUP(COUNTA($B$2:$B$49)*Método!$B$2,0),"SÍ","")</f>
        <v/>
      </c>
      <c r="E25" t="inlineStr"/>
      <c r="F25" t="inlineStr"/>
    </row>
    <row r="26">
      <c r="A26" t="n">
        <v>25</v>
      </c>
      <c r="B26" t="inlineStr">
        <is>
          <t>sync02-no.ale</t>
        </is>
      </c>
      <c r="C26" t="n">
        <v>0.5268355815366395</v>
      </c>
      <c r="D26">
        <f>IF(A26&lt;=ROUNDUP(COUNTA($B$2:$B$49)*Método!$B$2,0),"SÍ","")</f>
        <v/>
      </c>
      <c r="E26" t="inlineStr"/>
      <c r="F26" t="inlineStr"/>
    </row>
    <row r="27">
      <c r="A27" t="n">
        <v>26</v>
      </c>
      <c r="B27" t="inlineStr">
        <is>
          <t>simple_mutex-no.ale</t>
        </is>
      </c>
      <c r="C27" t="n">
        <v>0.5747219426757574</v>
      </c>
      <c r="D27">
        <f>IF(A27&lt;=ROUNDUP(COUNTA($B$2:$B$49)*Método!$B$2,0),"SÍ","")</f>
        <v/>
      </c>
      <c r="E27" t="inlineStr"/>
      <c r="F27" t="inlineStr"/>
    </row>
    <row r="28">
      <c r="A28" t="n">
        <v>27</v>
      </c>
      <c r="B28" t="inlineStr">
        <is>
          <t>micro_unprotected_3-yes.ale</t>
        </is>
      </c>
      <c r="C28" t="n">
        <v>0.5884268694021346</v>
      </c>
      <c r="D28">
        <f>IF(A28&lt;=ROUNDUP(COUNTA($B$2:$B$49)*Método!$B$2,0),"SÍ","")</f>
        <v/>
      </c>
      <c r="E28" t="inlineStr"/>
      <c r="F28" t="inlineStr"/>
    </row>
    <row r="29">
      <c r="A29" t="n">
        <v>28</v>
      </c>
      <c r="B29" t="inlineStr">
        <is>
          <t>din_phil5_unsat-no.ale</t>
        </is>
      </c>
      <c r="C29" t="n">
        <v>0.5895470590807879</v>
      </c>
      <c r="D29">
        <f>IF(A29&lt;=ROUNDUP(COUNTA($B$2:$B$49)*Método!$B$2,0),"SÍ","")</f>
        <v/>
      </c>
      <c r="E29" t="inlineStr"/>
      <c r="F29" t="inlineStr"/>
    </row>
    <row r="30">
      <c r="A30" t="n">
        <v>29</v>
      </c>
      <c r="B30" t="inlineStr">
        <is>
          <t>account_bad-no.ale</t>
        </is>
      </c>
      <c r="C30" t="n">
        <v>0.6257377639413284</v>
      </c>
      <c r="D30">
        <f>IF(A30&lt;=ROUNDUP(COUNTA($B$2:$B$49)*Método!$B$2,0),"SÍ","")</f>
        <v/>
      </c>
      <c r="E30" t="inlineStr"/>
      <c r="F30" t="inlineStr"/>
    </row>
    <row r="31">
      <c r="A31" t="n">
        <v>30</v>
      </c>
      <c r="B31" t="inlineStr">
        <is>
          <t>arithmetic_prog_bad-no.ale</t>
        </is>
      </c>
      <c r="C31" t="n">
        <v>0.6673806776077419</v>
      </c>
      <c r="D31">
        <f>IF(A31&lt;=ROUNDUP(COUNTA($B$2:$B$49)*Método!$B$2,0),"SÍ","")</f>
        <v/>
      </c>
      <c r="E31" t="inlineStr"/>
      <c r="F31" t="inlineStr"/>
    </row>
    <row r="32">
      <c r="A32" t="n">
        <v>31</v>
      </c>
      <c r="B32" t="inlineStr">
        <is>
          <t>micro_unprotected_10-yes.ale</t>
        </is>
      </c>
      <c r="C32" t="n">
        <v>0.6833362017418146</v>
      </c>
      <c r="D32">
        <f>IF(A32&lt;=ROUNDUP(COUNTA($B$2:$B$49)*Método!$B$2,0),"SÍ","")</f>
        <v/>
      </c>
      <c r="E32" t="inlineStr"/>
      <c r="F32" t="inlineStr"/>
    </row>
    <row r="33">
      <c r="A33" t="n">
        <v>32</v>
      </c>
      <c r="B33" t="inlineStr">
        <is>
          <t>din_phil6_sat-yes.ale</t>
        </is>
      </c>
      <c r="C33" t="n">
        <v>0.6910957252155356</v>
      </c>
      <c r="D33">
        <f>IF(A33&lt;=ROUNDUP(COUNTA($B$2:$B$49)*Método!$B$2,0),"SÍ","")</f>
        <v/>
      </c>
      <c r="E33" t="inlineStr"/>
      <c r="F33" t="inlineStr"/>
    </row>
    <row r="34">
      <c r="A34" t="n">
        <v>33</v>
      </c>
      <c r="B34" t="inlineStr">
        <is>
          <t>sync01_bad-no.ale</t>
        </is>
      </c>
      <c r="C34" t="n">
        <v>0.7046284580494553</v>
      </c>
      <c r="D34">
        <f>IF(A34&lt;=ROUNDUP(COUNTA($B$2:$B$49)*Método!$B$2,0),"SÍ","")</f>
        <v/>
      </c>
      <c r="E34" t="inlineStr"/>
      <c r="F34" t="inlineStr"/>
    </row>
    <row r="35">
      <c r="A35" t="n">
        <v>34</v>
      </c>
      <c r="B35" t="inlineStr">
        <is>
          <t>sync02_bad-no.ale</t>
        </is>
      </c>
      <c r="C35" t="n">
        <v>0.7254478626258269</v>
      </c>
      <c r="D35">
        <f>IF(A35&lt;=ROUNDUP(COUNTA($B$2:$B$49)*Método!$B$2,0),"SÍ","")</f>
        <v/>
      </c>
      <c r="E35" t="inlineStr"/>
      <c r="F35" t="inlineStr"/>
    </row>
    <row r="36">
      <c r="A36" t="n">
        <v>35</v>
      </c>
      <c r="B36" t="inlineStr">
        <is>
          <t>lazy01-no.ale</t>
        </is>
      </c>
      <c r="C36" t="n">
        <v>0.7386901685312984</v>
      </c>
      <c r="D36">
        <f>IF(A36&lt;=ROUNDUP(COUNTA($B$2:$B$49)*Método!$B$2,0),"SÍ","")</f>
        <v/>
      </c>
      <c r="E36" t="inlineStr"/>
      <c r="F36" t="inlineStr"/>
    </row>
    <row r="37">
      <c r="A37" t="n">
        <v>36</v>
      </c>
      <c r="B37" t="inlineStr">
        <is>
          <t>arithmetic_prog-no.ale</t>
        </is>
      </c>
      <c r="C37" t="n">
        <v>0.7497921018525392</v>
      </c>
      <c r="D37">
        <f>IF(A37&lt;=ROUNDUP(COUNTA($B$2:$B$49)*Método!$B$2,0),"SÍ","")</f>
        <v/>
      </c>
      <c r="E37" t="inlineStr"/>
      <c r="F37" t="inlineStr"/>
    </row>
    <row r="38">
      <c r="A38" t="n">
        <v>37</v>
      </c>
      <c r="B38" t="inlineStr">
        <is>
          <t>din_phil5_sat-yes.ale</t>
        </is>
      </c>
      <c r="C38" t="n">
        <v>0.7661020857070331</v>
      </c>
      <c r="D38">
        <f>IF(A38&lt;=ROUNDUP(COUNTA($B$2:$B$49)*Método!$B$2,0),"SÍ","")</f>
        <v/>
      </c>
      <c r="E38" t="inlineStr"/>
      <c r="F38" t="inlineStr"/>
    </row>
    <row r="39">
      <c r="A39" t="n">
        <v>38</v>
      </c>
      <c r="B39" t="inlineStr">
        <is>
          <t>reorder_4-yes.ale</t>
        </is>
      </c>
      <c r="C39" t="n">
        <v>0.7782885102903309</v>
      </c>
      <c r="D39">
        <f>IF(A39&lt;=ROUNDUP(COUNTA($B$2:$B$49)*Método!$B$2,0),"SÍ","")</f>
        <v/>
      </c>
      <c r="E39" t="inlineStr"/>
      <c r="F39" t="inlineStr"/>
    </row>
    <row r="40">
      <c r="A40" t="n">
        <v>39</v>
      </c>
      <c r="B40" t="inlineStr">
        <is>
          <t>din_phil3_unsat-no.ale</t>
        </is>
      </c>
      <c r="C40" t="n">
        <v>0.8041472253089544</v>
      </c>
      <c r="D40">
        <f>IF(A40&lt;=ROUNDUP(COUNTA($B$2:$B$49)*Método!$B$2,0),"SÍ","")</f>
        <v/>
      </c>
      <c r="E40" t="inlineStr"/>
      <c r="F40" t="inlineStr"/>
    </row>
    <row r="41">
      <c r="A41" t="n">
        <v>40</v>
      </c>
      <c r="B41" t="inlineStr">
        <is>
          <t>carter01_bad-no.ale</t>
        </is>
      </c>
      <c r="C41" t="n">
        <v>0.8392685263722963</v>
      </c>
      <c r="D41">
        <f>IF(A41&lt;=ROUNDUP(COUNTA($B$2:$B$49)*Método!$B$2,0),"SÍ","")</f>
        <v/>
      </c>
      <c r="E41" t="inlineStr"/>
      <c r="F41" t="inlineStr"/>
    </row>
    <row r="42">
      <c r="A42" t="n">
        <v>41</v>
      </c>
      <c r="B42" t="inlineStr">
        <is>
          <t>din_phil4_sat-yes.ale</t>
        </is>
      </c>
      <c r="C42" t="n">
        <v>0.9072090728796708</v>
      </c>
      <c r="D42">
        <f>IF(A42&lt;=ROUNDUP(COUNTA($B$2:$B$49)*Método!$B$2,0),"SÍ","")</f>
        <v/>
      </c>
      <c r="E42" t="inlineStr"/>
      <c r="F42" t="inlineStr"/>
    </row>
    <row r="43">
      <c r="A43" t="n">
        <v>42</v>
      </c>
      <c r="B43" t="inlineStr">
        <is>
          <t>sync01-no.ale</t>
        </is>
      </c>
      <c r="C43" t="n">
        <v>0.9090704808264392</v>
      </c>
      <c r="D43">
        <f>IF(A43&lt;=ROUNDUP(COUNTA($B$2:$B$49)*Método!$B$2,0),"SÍ","")</f>
        <v/>
      </c>
      <c r="E43" t="inlineStr"/>
      <c r="F43" t="inlineStr"/>
    </row>
    <row r="44">
      <c r="A44" t="n">
        <v>43</v>
      </c>
      <c r="B44" t="inlineStr">
        <is>
          <t>wronglock_3-yes.ale</t>
        </is>
      </c>
      <c r="C44" t="n">
        <v>0.9152538619394075</v>
      </c>
      <c r="D44">
        <f>IF(A44&lt;=ROUNDUP(COUNTA($B$2:$B$49)*Método!$B$2,0),"SÍ","")</f>
        <v/>
      </c>
      <c r="E44" t="inlineStr"/>
      <c r="F44" t="inlineStr"/>
    </row>
    <row r="45">
      <c r="A45" t="n">
        <v>44</v>
      </c>
      <c r="B45" t="inlineStr">
        <is>
          <t>circular-buffer-flag-ok-no.ale</t>
        </is>
      </c>
      <c r="C45" t="n">
        <v>0.9288727634176533</v>
      </c>
      <c r="D45">
        <f>IF(A45&lt;=ROUNDUP(COUNTA($B$2:$B$49)*Método!$B$2,0),"SÍ","")</f>
        <v/>
      </c>
      <c r="E45" t="inlineStr"/>
      <c r="F45" t="inlineStr"/>
    </row>
    <row r="46">
      <c r="A46" t="n">
        <v>45</v>
      </c>
      <c r="B46" t="inlineStr">
        <is>
          <t>stack-no.ale</t>
        </is>
      </c>
      <c r="C46" t="n">
        <v>0.9488960923318432</v>
      </c>
      <c r="D46">
        <f>IF(A46&lt;=ROUNDUP(COUNTA($B$2:$B$49)*Método!$B$2,0),"SÍ","")</f>
        <v/>
      </c>
      <c r="E46" t="inlineStr"/>
      <c r="F46" t="inlineStr"/>
    </row>
    <row r="47">
      <c r="A47" t="n">
        <v>46</v>
      </c>
      <c r="B47" t="inlineStr">
        <is>
          <t>reorder_3-yes.ale</t>
        </is>
      </c>
      <c r="C47" t="n">
        <v>0.9511390754321905</v>
      </c>
      <c r="D47">
        <f>IF(A47&lt;=ROUNDUP(COUNTA($B$2:$B$49)*Método!$B$2,0),"SÍ","")</f>
        <v/>
      </c>
      <c r="E47" t="inlineStr"/>
      <c r="F47" t="inlineStr"/>
    </row>
    <row r="48">
      <c r="A48" t="n">
        <v>47</v>
      </c>
      <c r="B48" t="inlineStr">
        <is>
          <t>twostage_100-no.ale</t>
        </is>
      </c>
      <c r="C48" t="n">
        <v>0.9882178499781354</v>
      </c>
      <c r="D48">
        <f>IF(A48&lt;=ROUNDUP(COUNTA($B$2:$B$49)*Método!$B$2,0),"SÍ","")</f>
        <v/>
      </c>
      <c r="E48" t="inlineStr"/>
      <c r="F48" t="inlineStr"/>
    </row>
    <row r="49">
      <c r="A49" t="n">
        <v>48</v>
      </c>
      <c r="B49" t="inlineStr">
        <is>
          <t>dpor_example3-yes.ale</t>
        </is>
      </c>
      <c r="C49" t="n">
        <v>0.9979880274540718</v>
      </c>
      <c r="D49">
        <f>IF(A49&lt;=ROUNDUP(COUNTA($B$2:$B$49)*Método!$B$2,0),"SÍ","")</f>
        <v/>
      </c>
      <c r="E49" t="inlineStr"/>
      <c r="F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2026-10-01T02:11:41Z</dcterms:created>
  <dcterms:modified xsi:type="dcterms:W3CDTF">2026-10-01T02:11:41Z</dcterms:modified>
</cp:coreProperties>
</file>